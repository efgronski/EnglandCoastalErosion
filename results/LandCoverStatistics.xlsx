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fgro/Downloads/DSA8530_GeoAI/Final Project/EnglandCoastalErosion/results/"/>
    </mc:Choice>
  </mc:AlternateContent>
  <xr:revisionPtr revIDLastSave="0" documentId="13_ncr:1_{A47BEA04-F63F-4941-8237-A663C8EB820C}" xr6:coauthVersionLast="47" xr6:coauthVersionMax="47" xr10:uidLastSave="{00000000-0000-0000-0000-000000000000}"/>
  <bookViews>
    <workbookView xWindow="760" yWindow="1020" windowWidth="15420" windowHeight="17000" xr2:uid="{C1FE4FE4-5912-3E47-9B53-975A6EA867AC}"/>
  </bookViews>
  <sheets>
    <sheet name="2000" sheetId="1" r:id="rId1"/>
    <sheet name="2005" sheetId="2" r:id="rId2"/>
    <sheet name="2010" sheetId="3" r:id="rId3"/>
    <sheet name="2015" sheetId="4" r:id="rId4"/>
    <sheet name="2020" sheetId="5" r:id="rId5"/>
    <sheet name="2025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6" l="1"/>
  <c r="J13" i="6" s="1"/>
  <c r="I12" i="6"/>
  <c r="I13" i="6" s="1"/>
  <c r="H12" i="6"/>
  <c r="G12" i="6"/>
  <c r="G13" i="6" s="1"/>
  <c r="F12" i="6"/>
  <c r="F13" i="6" s="1"/>
  <c r="E12" i="6"/>
  <c r="E13" i="6" s="1"/>
  <c r="D12" i="6"/>
  <c r="D13" i="6" s="1"/>
  <c r="C12" i="6"/>
  <c r="C13" i="6" s="1"/>
  <c r="B12" i="6"/>
  <c r="B13" i="6" s="1"/>
  <c r="K11" i="6"/>
  <c r="L11" i="6" s="1"/>
  <c r="K10" i="6"/>
  <c r="L10" i="6" s="1"/>
  <c r="K9" i="6"/>
  <c r="K8" i="6"/>
  <c r="L8" i="6" s="1"/>
  <c r="K7" i="6"/>
  <c r="L7" i="6" s="1"/>
  <c r="K6" i="6"/>
  <c r="L6" i="6" s="1"/>
  <c r="K5" i="6"/>
  <c r="L5" i="6" s="1"/>
  <c r="K4" i="6"/>
  <c r="L4" i="6" s="1"/>
  <c r="K3" i="6"/>
  <c r="J12" i="5"/>
  <c r="J13" i="5" s="1"/>
  <c r="I12" i="5"/>
  <c r="I13" i="5" s="1"/>
  <c r="H12" i="5"/>
  <c r="G12" i="5"/>
  <c r="G13" i="5" s="1"/>
  <c r="F12" i="5"/>
  <c r="F13" i="5" s="1"/>
  <c r="E12" i="5"/>
  <c r="E13" i="5" s="1"/>
  <c r="D12" i="5"/>
  <c r="D13" i="5" s="1"/>
  <c r="C12" i="5"/>
  <c r="C13" i="5" s="1"/>
  <c r="B12" i="5"/>
  <c r="B13" i="5" s="1"/>
  <c r="K11" i="5"/>
  <c r="L11" i="5" s="1"/>
  <c r="K10" i="5"/>
  <c r="L10" i="5" s="1"/>
  <c r="K9" i="5"/>
  <c r="K8" i="5"/>
  <c r="L8" i="5" s="1"/>
  <c r="K7" i="5"/>
  <c r="L7" i="5" s="1"/>
  <c r="K6" i="5"/>
  <c r="L6" i="5" s="1"/>
  <c r="K5" i="5"/>
  <c r="L5" i="5" s="1"/>
  <c r="K4" i="5"/>
  <c r="L4" i="5" s="1"/>
  <c r="K3" i="5"/>
  <c r="J12" i="4"/>
  <c r="J13" i="4" s="1"/>
  <c r="I12" i="4"/>
  <c r="I13" i="4" s="1"/>
  <c r="H12" i="4"/>
  <c r="G12" i="4"/>
  <c r="G13" i="4" s="1"/>
  <c r="F12" i="4"/>
  <c r="F13" i="4" s="1"/>
  <c r="E12" i="4"/>
  <c r="E13" i="4" s="1"/>
  <c r="D12" i="4"/>
  <c r="D13" i="4" s="1"/>
  <c r="C12" i="4"/>
  <c r="C13" i="4" s="1"/>
  <c r="B12" i="4"/>
  <c r="B13" i="4" s="1"/>
  <c r="K11" i="4"/>
  <c r="L11" i="4" s="1"/>
  <c r="K10" i="4"/>
  <c r="L10" i="4" s="1"/>
  <c r="K9" i="4"/>
  <c r="K8" i="4"/>
  <c r="L8" i="4" s="1"/>
  <c r="K7" i="4"/>
  <c r="L7" i="4" s="1"/>
  <c r="K6" i="4"/>
  <c r="L6" i="4" s="1"/>
  <c r="K5" i="4"/>
  <c r="L5" i="4" s="1"/>
  <c r="K4" i="4"/>
  <c r="L4" i="4" s="1"/>
  <c r="K3" i="4"/>
  <c r="C13" i="3"/>
  <c r="J12" i="3"/>
  <c r="J13" i="3" s="1"/>
  <c r="I12" i="3"/>
  <c r="I13" i="3" s="1"/>
  <c r="H12" i="3"/>
  <c r="G12" i="3"/>
  <c r="G13" i="3" s="1"/>
  <c r="F12" i="3"/>
  <c r="F13" i="3" s="1"/>
  <c r="E12" i="3"/>
  <c r="E13" i="3" s="1"/>
  <c r="D12" i="3"/>
  <c r="D13" i="3" s="1"/>
  <c r="C12" i="3"/>
  <c r="B12" i="3"/>
  <c r="B13" i="3" s="1"/>
  <c r="K11" i="3"/>
  <c r="L11" i="3" s="1"/>
  <c r="K10" i="3"/>
  <c r="L10" i="3" s="1"/>
  <c r="K9" i="3"/>
  <c r="K8" i="3"/>
  <c r="L8" i="3" s="1"/>
  <c r="K7" i="3"/>
  <c r="L7" i="3" s="1"/>
  <c r="K6" i="3"/>
  <c r="L6" i="3" s="1"/>
  <c r="K5" i="3"/>
  <c r="L5" i="3" s="1"/>
  <c r="K4" i="3"/>
  <c r="L4" i="3" s="1"/>
  <c r="K3" i="3"/>
  <c r="L5" i="2"/>
  <c r="D24" i="6"/>
  <c r="E23" i="6" s="1"/>
  <c r="D24" i="5"/>
  <c r="E23" i="5" s="1"/>
  <c r="D24" i="4"/>
  <c r="E21" i="4" s="1"/>
  <c r="D24" i="3"/>
  <c r="E23" i="3" s="1"/>
  <c r="D24" i="2"/>
  <c r="E23" i="2" s="1"/>
  <c r="J12" i="2"/>
  <c r="J13" i="2" s="1"/>
  <c r="I12" i="2"/>
  <c r="I13" i="2" s="1"/>
  <c r="H12" i="2"/>
  <c r="G12" i="2"/>
  <c r="G13" i="2" s="1"/>
  <c r="F12" i="2"/>
  <c r="F13" i="2" s="1"/>
  <c r="E12" i="2"/>
  <c r="E13" i="2" s="1"/>
  <c r="D12" i="2"/>
  <c r="D13" i="2" s="1"/>
  <c r="C12" i="2"/>
  <c r="C13" i="2" s="1"/>
  <c r="B12" i="2"/>
  <c r="B13" i="2" s="1"/>
  <c r="K11" i="2"/>
  <c r="L11" i="2" s="1"/>
  <c r="K10" i="2"/>
  <c r="L10" i="2" s="1"/>
  <c r="K9" i="2"/>
  <c r="K8" i="2"/>
  <c r="L8" i="2" s="1"/>
  <c r="K7" i="2"/>
  <c r="L7" i="2" s="1"/>
  <c r="K6" i="2"/>
  <c r="L6" i="2" s="1"/>
  <c r="K5" i="2"/>
  <c r="K4" i="2"/>
  <c r="L4" i="2" s="1"/>
  <c r="K3" i="2"/>
  <c r="E20" i="1"/>
  <c r="E19" i="1"/>
  <c r="E17" i="1"/>
  <c r="E16" i="1"/>
  <c r="D24" i="1"/>
  <c r="E22" i="1" s="1"/>
  <c r="L3" i="1"/>
  <c r="L8" i="1"/>
  <c r="G13" i="1"/>
  <c r="F13" i="1"/>
  <c r="E13" i="1"/>
  <c r="C12" i="1"/>
  <c r="D12" i="1"/>
  <c r="D13" i="1" s="1"/>
  <c r="E12" i="1"/>
  <c r="F12" i="1"/>
  <c r="G12" i="1"/>
  <c r="H12" i="1"/>
  <c r="I12" i="1"/>
  <c r="I13" i="1" s="1"/>
  <c r="J12" i="1"/>
  <c r="J13" i="1" s="1"/>
  <c r="B12" i="1"/>
  <c r="B13" i="1" s="1"/>
  <c r="K4" i="1"/>
  <c r="K12" i="1" s="1"/>
  <c r="K5" i="1"/>
  <c r="L5" i="1" s="1"/>
  <c r="K6" i="1"/>
  <c r="L6" i="1" s="1"/>
  <c r="K7" i="1"/>
  <c r="L7" i="1" s="1"/>
  <c r="K8" i="1"/>
  <c r="K9" i="1"/>
  <c r="K10" i="1"/>
  <c r="L10" i="1" s="1"/>
  <c r="K11" i="1"/>
  <c r="L11" i="1" s="1"/>
  <c r="K3" i="1"/>
  <c r="E18" i="1" l="1"/>
  <c r="E21" i="1"/>
  <c r="E23" i="1"/>
  <c r="E19" i="6"/>
  <c r="E16" i="6"/>
  <c r="E17" i="6"/>
  <c r="E20" i="6"/>
  <c r="E21" i="6"/>
  <c r="E22" i="6"/>
  <c r="E18" i="6"/>
  <c r="K12" i="6"/>
  <c r="E16" i="5"/>
  <c r="E20" i="5"/>
  <c r="E17" i="5"/>
  <c r="E19" i="5"/>
  <c r="E21" i="5"/>
  <c r="E18" i="5"/>
  <c r="K12" i="5"/>
  <c r="E23" i="4"/>
  <c r="E19" i="4"/>
  <c r="E20" i="4"/>
  <c r="E22" i="4"/>
  <c r="E16" i="4"/>
  <c r="E17" i="4"/>
  <c r="E18" i="4"/>
  <c r="K12" i="4"/>
  <c r="E21" i="3"/>
  <c r="E16" i="3"/>
  <c r="E17" i="3"/>
  <c r="E18" i="3"/>
  <c r="E22" i="3"/>
  <c r="E19" i="3"/>
  <c r="E20" i="3"/>
  <c r="K12" i="3"/>
  <c r="E16" i="2"/>
  <c r="E17" i="2"/>
  <c r="E19" i="2"/>
  <c r="E18" i="2"/>
  <c r="E20" i="2"/>
  <c r="E22" i="2"/>
  <c r="E21" i="2"/>
  <c r="L3" i="6"/>
  <c r="L3" i="5"/>
  <c r="L3" i="4"/>
  <c r="L3" i="3"/>
  <c r="K12" i="2"/>
  <c r="E22" i="5"/>
  <c r="L3" i="2"/>
</calcChain>
</file>

<file path=xl/sharedStrings.xml><?xml version="1.0" encoding="utf-8"?>
<sst xmlns="http://schemas.openxmlformats.org/spreadsheetml/2006/main" count="150" uniqueCount="25">
  <si>
    <t>Confusion Matrix</t>
  </si>
  <si>
    <t>Actual</t>
  </si>
  <si>
    <t>Predicted</t>
  </si>
  <si>
    <t>Precision</t>
  </si>
  <si>
    <t>Recall</t>
  </si>
  <si>
    <t>Overall Accuarcy</t>
  </si>
  <si>
    <t>Kappa Coefficient</t>
  </si>
  <si>
    <t>Area by Land Cover Class</t>
  </si>
  <si>
    <t>Tree Cover</t>
  </si>
  <si>
    <t>Shrubland</t>
  </si>
  <si>
    <t>Grassland</t>
  </si>
  <si>
    <t>Cropland</t>
  </si>
  <si>
    <t>Built-Up</t>
  </si>
  <si>
    <t>Water</t>
  </si>
  <si>
    <t>Wetland</t>
  </si>
  <si>
    <t>0 - Tree Cover</t>
  </si>
  <si>
    <t>1 - Shrubland</t>
  </si>
  <si>
    <t>2 - Grassland</t>
  </si>
  <si>
    <t>3 - Cropland</t>
  </si>
  <si>
    <t>4 - Built-up</t>
  </si>
  <si>
    <t>Bare / Sparse</t>
  </si>
  <si>
    <t>5 - Bare / Sparse</t>
  </si>
  <si>
    <t>6 - Ice / Snow</t>
  </si>
  <si>
    <t>7 - Water</t>
  </si>
  <si>
    <t>8 - Wetland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</si>
</sst>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4"/>
      <color theme="1"/>
      <name val="Courier New"/>
      <family val="1"/>
    </font>
    <font>
      <sz val="14"/>
      <color rgb="FF7B1FA2"/>
      <name val="Courier New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20" fontId="4" fillId="0" borderId="0" xfId="0" applyNumberFormat="1" applyFont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5" borderId="0" xfId="0" applyFont="1" applyFill="1"/>
    <xf numFmtId="9" fontId="0" fillId="5" borderId="0" xfId="0" applyNumberFormat="1" applyFill="1"/>
    <xf numFmtId="10" fontId="0" fillId="5" borderId="0" xfId="0" applyNumberFormat="1" applyFill="1"/>
    <xf numFmtId="10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406D4-BEE7-E64B-BE9C-B2CB8FA18F6A}">
  <dimension ref="A1:L24"/>
  <sheetViews>
    <sheetView tabSelected="1" workbookViewId="0">
      <selection activeCell="K30" sqref="K30"/>
    </sheetView>
  </sheetViews>
  <sheetFormatPr baseColWidth="10" defaultRowHeight="16" x14ac:dyDescent="0.2"/>
  <cols>
    <col min="4" max="5" width="12.1640625" bestFit="1" customWidth="1"/>
  </cols>
  <sheetData>
    <row r="1" spans="1:12" x14ac:dyDescent="0.2">
      <c r="A1" s="1" t="s">
        <v>0</v>
      </c>
    </row>
    <row r="2" spans="1:12" x14ac:dyDescent="0.2"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21</v>
      </c>
      <c r="H2" t="s">
        <v>22</v>
      </c>
      <c r="I2" t="s">
        <v>23</v>
      </c>
      <c r="J2" t="s">
        <v>24</v>
      </c>
      <c r="K2" s="5" t="s">
        <v>1</v>
      </c>
      <c r="L2" s="9" t="s">
        <v>4</v>
      </c>
    </row>
    <row r="3" spans="1:12" x14ac:dyDescent="0.2">
      <c r="A3">
        <v>0</v>
      </c>
      <c r="B3" s="4">
        <v>404</v>
      </c>
      <c r="C3">
        <v>0</v>
      </c>
      <c r="D3">
        <v>82</v>
      </c>
      <c r="E3">
        <v>36</v>
      </c>
      <c r="F3">
        <v>45</v>
      </c>
      <c r="G3">
        <v>6</v>
      </c>
      <c r="H3">
        <v>0</v>
      </c>
      <c r="I3">
        <v>2</v>
      </c>
      <c r="J3">
        <v>15</v>
      </c>
      <c r="K3" s="6">
        <f>SUM(B3:J3)</f>
        <v>590</v>
      </c>
      <c r="L3" s="11">
        <f>ROUND((B3/K3), 4)</f>
        <v>0.68469999999999998</v>
      </c>
    </row>
    <row r="4" spans="1:12" x14ac:dyDescent="0.2">
      <c r="A4">
        <v>1</v>
      </c>
      <c r="B4">
        <v>0</v>
      </c>
      <c r="C4" s="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s="6">
        <f t="shared" ref="K4:K11" si="0">SUM(B4:J4)</f>
        <v>0</v>
      </c>
      <c r="L4" s="11">
        <v>0</v>
      </c>
    </row>
    <row r="5" spans="1:12" x14ac:dyDescent="0.2">
      <c r="A5">
        <v>2</v>
      </c>
      <c r="B5">
        <v>86</v>
      </c>
      <c r="C5">
        <v>0</v>
      </c>
      <c r="D5" s="4">
        <v>345</v>
      </c>
      <c r="E5">
        <v>90</v>
      </c>
      <c r="F5">
        <v>57</v>
      </c>
      <c r="G5">
        <v>23</v>
      </c>
      <c r="H5">
        <v>0</v>
      </c>
      <c r="I5">
        <v>2</v>
      </c>
      <c r="J5">
        <v>17</v>
      </c>
      <c r="K5" s="6">
        <f t="shared" si="0"/>
        <v>620</v>
      </c>
      <c r="L5" s="11">
        <f>ROUND((D5/K5), 4)</f>
        <v>0.55649999999999999</v>
      </c>
    </row>
    <row r="6" spans="1:12" x14ac:dyDescent="0.2">
      <c r="A6">
        <v>3</v>
      </c>
      <c r="B6">
        <v>29</v>
      </c>
      <c r="C6">
        <v>0</v>
      </c>
      <c r="D6">
        <v>55</v>
      </c>
      <c r="E6" s="4">
        <v>364</v>
      </c>
      <c r="F6">
        <v>42</v>
      </c>
      <c r="G6">
        <v>30</v>
      </c>
      <c r="H6">
        <v>0</v>
      </c>
      <c r="I6">
        <v>0</v>
      </c>
      <c r="J6">
        <v>76</v>
      </c>
      <c r="K6" s="6">
        <f t="shared" si="0"/>
        <v>596</v>
      </c>
      <c r="L6" s="11">
        <f>ROUND((E6/K6), 4)</f>
        <v>0.61070000000000002</v>
      </c>
    </row>
    <row r="7" spans="1:12" x14ac:dyDescent="0.2">
      <c r="A7">
        <v>4</v>
      </c>
      <c r="B7">
        <v>30</v>
      </c>
      <c r="C7">
        <v>0</v>
      </c>
      <c r="D7">
        <v>30</v>
      </c>
      <c r="E7">
        <v>54</v>
      </c>
      <c r="F7" s="4">
        <v>441</v>
      </c>
      <c r="G7">
        <v>69</v>
      </c>
      <c r="H7">
        <v>0</v>
      </c>
      <c r="I7">
        <v>14</v>
      </c>
      <c r="J7">
        <v>15</v>
      </c>
      <c r="K7" s="6">
        <f t="shared" si="0"/>
        <v>653</v>
      </c>
      <c r="L7" s="11">
        <f>ROUND((F7/K7), 4)</f>
        <v>0.67530000000000001</v>
      </c>
    </row>
    <row r="8" spans="1:12" x14ac:dyDescent="0.2">
      <c r="A8">
        <v>5</v>
      </c>
      <c r="B8">
        <v>14</v>
      </c>
      <c r="C8">
        <v>0</v>
      </c>
      <c r="D8">
        <v>35</v>
      </c>
      <c r="E8">
        <v>73</v>
      </c>
      <c r="F8">
        <v>55</v>
      </c>
      <c r="G8" s="4">
        <v>348</v>
      </c>
      <c r="H8">
        <v>0</v>
      </c>
      <c r="I8">
        <v>44</v>
      </c>
      <c r="J8">
        <v>29</v>
      </c>
      <c r="K8" s="6">
        <f t="shared" si="0"/>
        <v>598</v>
      </c>
      <c r="L8" s="11">
        <f>ROUND((G8/K8), 4)</f>
        <v>0.58189999999999997</v>
      </c>
    </row>
    <row r="9" spans="1:12" x14ac:dyDescent="0.2">
      <c r="A9">
        <v>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 s="4">
        <v>0</v>
      </c>
      <c r="I9">
        <v>0</v>
      </c>
      <c r="J9">
        <v>0</v>
      </c>
      <c r="K9" s="6">
        <f t="shared" si="0"/>
        <v>0</v>
      </c>
      <c r="L9" s="11">
        <v>0</v>
      </c>
    </row>
    <row r="10" spans="1:12" x14ac:dyDescent="0.2">
      <c r="A10">
        <v>7</v>
      </c>
      <c r="B10">
        <v>4</v>
      </c>
      <c r="C10">
        <v>0</v>
      </c>
      <c r="D10">
        <v>6</v>
      </c>
      <c r="E10">
        <v>13</v>
      </c>
      <c r="F10">
        <v>11</v>
      </c>
      <c r="G10">
        <v>36</v>
      </c>
      <c r="H10">
        <v>0</v>
      </c>
      <c r="I10" s="4">
        <v>503</v>
      </c>
      <c r="J10">
        <v>46</v>
      </c>
      <c r="K10" s="6">
        <f t="shared" si="0"/>
        <v>619</v>
      </c>
      <c r="L10" s="11">
        <f>ROUND((I10/K10), 4)</f>
        <v>0.81259999999999999</v>
      </c>
    </row>
    <row r="11" spans="1:12" x14ac:dyDescent="0.2">
      <c r="A11">
        <v>8</v>
      </c>
      <c r="B11">
        <v>23</v>
      </c>
      <c r="C11">
        <v>0</v>
      </c>
      <c r="D11">
        <v>30</v>
      </c>
      <c r="E11">
        <v>70</v>
      </c>
      <c r="F11">
        <v>13</v>
      </c>
      <c r="G11">
        <v>12</v>
      </c>
      <c r="H11">
        <v>0</v>
      </c>
      <c r="I11">
        <v>63</v>
      </c>
      <c r="J11" s="4">
        <v>357</v>
      </c>
      <c r="K11" s="6">
        <f t="shared" si="0"/>
        <v>568</v>
      </c>
      <c r="L11" s="11">
        <f>ROUND((J11/K11), 4)</f>
        <v>0.62849999999999995</v>
      </c>
    </row>
    <row r="12" spans="1:12" x14ac:dyDescent="0.2">
      <c r="A12" s="5" t="s">
        <v>2</v>
      </c>
      <c r="B12" s="6">
        <f>SUM(B3:B11)</f>
        <v>590</v>
      </c>
      <c r="C12" s="6">
        <f t="shared" ref="C12:J12" si="1">SUM(C3:C11)</f>
        <v>0</v>
      </c>
      <c r="D12" s="6">
        <f t="shared" si="1"/>
        <v>583</v>
      </c>
      <c r="E12" s="6">
        <f t="shared" si="1"/>
        <v>700</v>
      </c>
      <c r="F12" s="6">
        <f t="shared" si="1"/>
        <v>664</v>
      </c>
      <c r="G12" s="6">
        <f t="shared" si="1"/>
        <v>524</v>
      </c>
      <c r="H12" s="6">
        <f t="shared" si="1"/>
        <v>0</v>
      </c>
      <c r="I12" s="6">
        <f t="shared" si="1"/>
        <v>628</v>
      </c>
      <c r="J12" s="6">
        <f t="shared" si="1"/>
        <v>555</v>
      </c>
      <c r="K12" s="7">
        <f>SUM(K3:K11)</f>
        <v>4244</v>
      </c>
      <c r="L12" s="8"/>
    </row>
    <row r="13" spans="1:12" x14ac:dyDescent="0.2">
      <c r="A13" s="9" t="s">
        <v>3</v>
      </c>
      <c r="B13" s="11">
        <f>ROUND((B3/B12), 4)</f>
        <v>0.68469999999999998</v>
      </c>
      <c r="C13" s="10">
        <v>0</v>
      </c>
      <c r="D13" s="11">
        <f>ROUND((D5/D12), 4)</f>
        <v>0.59179999999999999</v>
      </c>
      <c r="E13" s="11">
        <f>ROUND((E6/E12), 4)</f>
        <v>0.52</v>
      </c>
      <c r="F13" s="11">
        <f>ROUND((F7/F12), 4)</f>
        <v>0.66420000000000001</v>
      </c>
      <c r="G13" s="11">
        <f>ROUND((G8/G12), 4)</f>
        <v>0.66410000000000002</v>
      </c>
      <c r="H13" s="11">
        <v>0</v>
      </c>
      <c r="I13" s="11">
        <f>ROUND((I10/I12), 4)</f>
        <v>0.80100000000000005</v>
      </c>
      <c r="J13" s="11">
        <f>ROUND((J11/J12), 4)</f>
        <v>0.64319999999999999</v>
      </c>
      <c r="K13" s="8"/>
      <c r="L13" s="8"/>
    </row>
    <row r="14" spans="1:12" ht="19" x14ac:dyDescent="0.25">
      <c r="A14" s="3"/>
    </row>
    <row r="15" spans="1:12" x14ac:dyDescent="0.2">
      <c r="A15" s="1" t="s">
        <v>5</v>
      </c>
      <c r="C15" s="1" t="s">
        <v>7</v>
      </c>
    </row>
    <row r="16" spans="1:12" x14ac:dyDescent="0.2">
      <c r="A16" s="12">
        <v>0.65080113100848203</v>
      </c>
      <c r="C16" t="s">
        <v>8</v>
      </c>
      <c r="D16">
        <v>347802621.88391602</v>
      </c>
      <c r="E16" s="13">
        <f>(D16/D24)</f>
        <v>0.15794603460011247</v>
      </c>
    </row>
    <row r="17" spans="1:5" x14ac:dyDescent="0.2">
      <c r="C17" t="s">
        <v>9</v>
      </c>
      <c r="D17">
        <v>47049.556980267596</v>
      </c>
      <c r="E17" s="13">
        <f>(D17/D24)</f>
        <v>2.13664029168981E-5</v>
      </c>
    </row>
    <row r="18" spans="1:5" x14ac:dyDescent="0.2">
      <c r="A18" s="1" t="s">
        <v>6</v>
      </c>
      <c r="C18" t="s">
        <v>10</v>
      </c>
      <c r="D18">
        <v>471752599.63421702</v>
      </c>
      <c r="E18" s="13">
        <f>(D18/D24)</f>
        <v>0.21423487845180272</v>
      </c>
    </row>
    <row r="19" spans="1:5" x14ac:dyDescent="0.2">
      <c r="A19" s="12">
        <v>0.59247991105271103</v>
      </c>
      <c r="C19" t="s">
        <v>11</v>
      </c>
      <c r="D19">
        <v>820472966.88083196</v>
      </c>
      <c r="E19" s="13">
        <f>(D19/D24)</f>
        <v>0.37259768461052445</v>
      </c>
    </row>
    <row r="20" spans="1:5" x14ac:dyDescent="0.2">
      <c r="C20" t="s">
        <v>12</v>
      </c>
      <c r="D20">
        <v>242450803.22249401</v>
      </c>
      <c r="E20" s="13">
        <f>(D20/D24)</f>
        <v>0.11010308877828502</v>
      </c>
    </row>
    <row r="21" spans="1:5" x14ac:dyDescent="0.2">
      <c r="C21" t="s">
        <v>20</v>
      </c>
      <c r="D21">
        <v>100649235.50258499</v>
      </c>
      <c r="E21" s="13">
        <f>(D21/D24)</f>
        <v>4.5707382960649599E-2</v>
      </c>
    </row>
    <row r="22" spans="1:5" x14ac:dyDescent="0.2">
      <c r="C22" t="s">
        <v>13</v>
      </c>
      <c r="D22">
        <v>39899747.302109897</v>
      </c>
      <c r="E22" s="13">
        <f>(D22/D24)</f>
        <v>1.8119492123950053E-2</v>
      </c>
    </row>
    <row r="23" spans="1:5" x14ac:dyDescent="0.2">
      <c r="C23" t="s">
        <v>14</v>
      </c>
      <c r="D23">
        <v>178959504.86390001</v>
      </c>
      <c r="E23" s="13">
        <f>(D23/D24)</f>
        <v>8.1270072071758861E-2</v>
      </c>
    </row>
    <row r="24" spans="1:5" x14ac:dyDescent="0.2">
      <c r="D24">
        <f>SUM(D16:D23)</f>
        <v>2202034528.847034</v>
      </c>
    </row>
  </sheetData>
  <pageMargins left="0.7" right="0.7" top="0.75" bottom="0.75" header="0.3" footer="0.3"/>
  <ignoredErrors>
    <ignoredError sqref="K11 K3:K10 B12 C12:J12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7200D-EEC6-5848-9162-839E60717253}">
  <dimension ref="A1:N24"/>
  <sheetViews>
    <sheetView workbookViewId="0">
      <selection activeCell="G25" sqref="G25"/>
    </sheetView>
  </sheetViews>
  <sheetFormatPr baseColWidth="10" defaultRowHeight="16" x14ac:dyDescent="0.2"/>
  <cols>
    <col min="4" max="4" width="12.1640625" bestFit="1" customWidth="1"/>
  </cols>
  <sheetData>
    <row r="1" spans="1:14" x14ac:dyDescent="0.2">
      <c r="A1" s="1" t="s">
        <v>0</v>
      </c>
    </row>
    <row r="2" spans="1:14" x14ac:dyDescent="0.2"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21</v>
      </c>
      <c r="H2" t="s">
        <v>22</v>
      </c>
      <c r="I2" t="s">
        <v>23</v>
      </c>
      <c r="J2" t="s">
        <v>24</v>
      </c>
      <c r="K2" s="5" t="s">
        <v>1</v>
      </c>
      <c r="L2" s="9" t="s">
        <v>4</v>
      </c>
    </row>
    <row r="3" spans="1:14" ht="19" x14ac:dyDescent="0.25">
      <c r="A3">
        <v>0</v>
      </c>
      <c r="B3" s="4">
        <v>393</v>
      </c>
      <c r="C3">
        <v>0</v>
      </c>
      <c r="D3">
        <v>91</v>
      </c>
      <c r="E3">
        <v>41</v>
      </c>
      <c r="F3">
        <v>28</v>
      </c>
      <c r="G3">
        <v>3</v>
      </c>
      <c r="H3">
        <v>0</v>
      </c>
      <c r="I3">
        <v>5</v>
      </c>
      <c r="J3">
        <v>10</v>
      </c>
      <c r="K3" s="6">
        <f>SUM(B3:J3)</f>
        <v>571</v>
      </c>
      <c r="L3" s="11">
        <f>ROUND((B3/K3), 4)</f>
        <v>0.68830000000000002</v>
      </c>
      <c r="N3" s="2"/>
    </row>
    <row r="4" spans="1:14" ht="19" x14ac:dyDescent="0.25">
      <c r="A4">
        <v>1</v>
      </c>
      <c r="B4">
        <v>2</v>
      </c>
      <c r="C4" s="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s="6">
        <f t="shared" ref="K4:K11" si="0">SUM(B4:J4)</f>
        <v>3</v>
      </c>
      <c r="L4" s="11">
        <f>ROUND((C4/K4), 4)</f>
        <v>0</v>
      </c>
      <c r="N4" s="3"/>
    </row>
    <row r="5" spans="1:14" ht="19" x14ac:dyDescent="0.25">
      <c r="A5">
        <v>2</v>
      </c>
      <c r="B5">
        <v>122</v>
      </c>
      <c r="C5">
        <v>0</v>
      </c>
      <c r="D5" s="4">
        <v>385</v>
      </c>
      <c r="E5">
        <v>84</v>
      </c>
      <c r="F5">
        <v>32</v>
      </c>
      <c r="G5">
        <v>9</v>
      </c>
      <c r="H5">
        <v>0</v>
      </c>
      <c r="I5">
        <v>0</v>
      </c>
      <c r="J5">
        <v>18</v>
      </c>
      <c r="K5" s="6">
        <f t="shared" si="0"/>
        <v>650</v>
      </c>
      <c r="L5" s="11">
        <f>ROUND((D5/K5), 4)</f>
        <v>0.59230000000000005</v>
      </c>
      <c r="N5" s="2"/>
    </row>
    <row r="6" spans="1:14" ht="19" x14ac:dyDescent="0.25">
      <c r="A6">
        <v>3</v>
      </c>
      <c r="B6">
        <v>28</v>
      </c>
      <c r="C6">
        <v>0</v>
      </c>
      <c r="D6">
        <v>52</v>
      </c>
      <c r="E6" s="4">
        <v>401</v>
      </c>
      <c r="F6">
        <v>44</v>
      </c>
      <c r="G6">
        <v>27</v>
      </c>
      <c r="H6">
        <v>0</v>
      </c>
      <c r="I6">
        <v>0</v>
      </c>
      <c r="J6">
        <v>53</v>
      </c>
      <c r="K6" s="6">
        <f t="shared" si="0"/>
        <v>605</v>
      </c>
      <c r="L6" s="11">
        <f>ROUND((E6/K6), 4)</f>
        <v>0.66279999999999994</v>
      </c>
      <c r="N6" s="3"/>
    </row>
    <row r="7" spans="1:14" ht="19" x14ac:dyDescent="0.25">
      <c r="A7">
        <v>4</v>
      </c>
      <c r="B7">
        <v>25</v>
      </c>
      <c r="C7">
        <v>0</v>
      </c>
      <c r="D7">
        <v>28</v>
      </c>
      <c r="E7">
        <v>50</v>
      </c>
      <c r="F7" s="4">
        <v>409</v>
      </c>
      <c r="G7">
        <v>74</v>
      </c>
      <c r="H7">
        <v>0</v>
      </c>
      <c r="I7">
        <v>8</v>
      </c>
      <c r="J7">
        <v>15</v>
      </c>
      <c r="K7" s="6">
        <f t="shared" si="0"/>
        <v>609</v>
      </c>
      <c r="L7" s="11">
        <f>ROUND((F7/K7), 4)</f>
        <v>0.67159999999999997</v>
      </c>
      <c r="N7" s="2"/>
    </row>
    <row r="8" spans="1:14" ht="19" x14ac:dyDescent="0.25">
      <c r="A8">
        <v>5</v>
      </c>
      <c r="B8">
        <v>15</v>
      </c>
      <c r="C8">
        <v>0</v>
      </c>
      <c r="D8">
        <v>32</v>
      </c>
      <c r="E8">
        <v>57</v>
      </c>
      <c r="F8">
        <v>45</v>
      </c>
      <c r="G8" s="4">
        <v>375</v>
      </c>
      <c r="H8">
        <v>0</v>
      </c>
      <c r="I8">
        <v>27</v>
      </c>
      <c r="J8">
        <v>25</v>
      </c>
      <c r="K8" s="6">
        <f t="shared" si="0"/>
        <v>576</v>
      </c>
      <c r="L8" s="11">
        <f>ROUND((G8/K8), 4)</f>
        <v>0.65100000000000002</v>
      </c>
      <c r="N8" s="3"/>
    </row>
    <row r="9" spans="1:14" ht="19" x14ac:dyDescent="0.25">
      <c r="A9">
        <v>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 s="4">
        <v>0</v>
      </c>
      <c r="I9">
        <v>0</v>
      </c>
      <c r="J9">
        <v>0</v>
      </c>
      <c r="K9" s="6">
        <f t="shared" si="0"/>
        <v>0</v>
      </c>
      <c r="L9" s="11">
        <v>0</v>
      </c>
      <c r="N9" s="2"/>
    </row>
    <row r="10" spans="1:14" ht="19" x14ac:dyDescent="0.25">
      <c r="A10">
        <v>7</v>
      </c>
      <c r="B10">
        <v>11</v>
      </c>
      <c r="C10">
        <v>0</v>
      </c>
      <c r="D10">
        <v>4</v>
      </c>
      <c r="E10">
        <v>10</v>
      </c>
      <c r="F10">
        <v>11</v>
      </c>
      <c r="G10">
        <v>44</v>
      </c>
      <c r="H10">
        <v>0</v>
      </c>
      <c r="I10" s="4">
        <v>456</v>
      </c>
      <c r="J10">
        <v>68</v>
      </c>
      <c r="K10" s="6">
        <f t="shared" si="0"/>
        <v>604</v>
      </c>
      <c r="L10" s="11">
        <f>ROUND((I10/K10), 4)</f>
        <v>0.755</v>
      </c>
      <c r="N10" s="3"/>
    </row>
    <row r="11" spans="1:14" ht="19" x14ac:dyDescent="0.25">
      <c r="A11">
        <v>8</v>
      </c>
      <c r="B11">
        <v>22</v>
      </c>
      <c r="C11">
        <v>0</v>
      </c>
      <c r="D11">
        <v>28</v>
      </c>
      <c r="E11">
        <v>94</v>
      </c>
      <c r="F11">
        <v>15</v>
      </c>
      <c r="G11">
        <v>23</v>
      </c>
      <c r="H11">
        <v>0</v>
      </c>
      <c r="I11">
        <v>40</v>
      </c>
      <c r="J11" s="4">
        <v>353</v>
      </c>
      <c r="K11" s="6">
        <f t="shared" si="0"/>
        <v>575</v>
      </c>
      <c r="L11" s="11">
        <f>ROUND((J11/K11), 4)</f>
        <v>0.6139</v>
      </c>
      <c r="N11" s="2"/>
    </row>
    <row r="12" spans="1:14" ht="19" x14ac:dyDescent="0.25">
      <c r="A12" s="5" t="s">
        <v>2</v>
      </c>
      <c r="B12" s="6">
        <f>SUM(B3:B11)</f>
        <v>618</v>
      </c>
      <c r="C12" s="6">
        <f t="shared" ref="C12:J12" si="1">SUM(C3:C11)</f>
        <v>0</v>
      </c>
      <c r="D12" s="6">
        <f t="shared" si="1"/>
        <v>621</v>
      </c>
      <c r="E12" s="6">
        <f t="shared" si="1"/>
        <v>737</v>
      </c>
      <c r="F12" s="6">
        <f t="shared" si="1"/>
        <v>584</v>
      </c>
      <c r="G12" s="6">
        <f t="shared" si="1"/>
        <v>555</v>
      </c>
      <c r="H12" s="6">
        <f t="shared" si="1"/>
        <v>0</v>
      </c>
      <c r="I12" s="6">
        <f t="shared" si="1"/>
        <v>536</v>
      </c>
      <c r="J12" s="6">
        <f t="shared" si="1"/>
        <v>542</v>
      </c>
      <c r="K12" s="7">
        <f>SUM(K3:K11)</f>
        <v>4193</v>
      </c>
      <c r="L12" s="8"/>
      <c r="N12" s="3"/>
    </row>
    <row r="13" spans="1:14" ht="19" x14ac:dyDescent="0.25">
      <c r="A13" s="9" t="s">
        <v>3</v>
      </c>
      <c r="B13" s="11">
        <f>ROUND((B3/B12), 4)</f>
        <v>0.63590000000000002</v>
      </c>
      <c r="C13" s="10" t="e">
        <f>ROUND((C4/C12), 4)</f>
        <v>#DIV/0!</v>
      </c>
      <c r="D13" s="11">
        <f>ROUND((D5/D12), 4)</f>
        <v>0.62</v>
      </c>
      <c r="E13" s="11">
        <f>ROUND((E6/E12), 4)</f>
        <v>0.54410000000000003</v>
      </c>
      <c r="F13" s="11">
        <f>ROUND((F7/F12), 4)</f>
        <v>0.70030000000000003</v>
      </c>
      <c r="G13" s="11">
        <f>ROUND((G8/G12), 4)</f>
        <v>0.67569999999999997</v>
      </c>
      <c r="H13" s="11">
        <v>0</v>
      </c>
      <c r="I13" s="11">
        <f>ROUND((I10/I12), 4)</f>
        <v>0.85070000000000001</v>
      </c>
      <c r="J13" s="11">
        <f>ROUND((J11/J12), 4)</f>
        <v>0.65129999999999999</v>
      </c>
      <c r="K13" s="8"/>
      <c r="L13" s="8"/>
      <c r="N13" s="2"/>
    </row>
    <row r="14" spans="1:14" ht="19" x14ac:dyDescent="0.25">
      <c r="A14" s="3"/>
      <c r="N14" s="3"/>
    </row>
    <row r="15" spans="1:14" ht="19" x14ac:dyDescent="0.25">
      <c r="A15" s="1" t="s">
        <v>5</v>
      </c>
      <c r="C15" s="1" t="s">
        <v>7</v>
      </c>
      <c r="N15" s="2"/>
    </row>
    <row r="16" spans="1:14" ht="19" x14ac:dyDescent="0.25">
      <c r="A16" s="12">
        <v>0.66029165670571299</v>
      </c>
      <c r="C16" t="s">
        <v>8</v>
      </c>
      <c r="D16">
        <v>362529278.49952102</v>
      </c>
      <c r="E16" s="13">
        <f>(D16/D24)</f>
        <v>0.16513706363845507</v>
      </c>
      <c r="N16" s="3"/>
    </row>
    <row r="17" spans="1:14" ht="19" x14ac:dyDescent="0.25">
      <c r="C17" t="s">
        <v>9</v>
      </c>
      <c r="D17">
        <v>0</v>
      </c>
      <c r="E17" s="13">
        <f>(D17/D24)</f>
        <v>0</v>
      </c>
      <c r="N17" s="2"/>
    </row>
    <row r="18" spans="1:14" ht="19" x14ac:dyDescent="0.25">
      <c r="A18" s="1" t="s">
        <v>6</v>
      </c>
      <c r="C18" t="s">
        <v>10</v>
      </c>
      <c r="D18">
        <v>474577639.28387201</v>
      </c>
      <c r="E18" s="13">
        <f>(D18/D24)</f>
        <v>0.21617663032397558</v>
      </c>
      <c r="N18" s="3"/>
    </row>
    <row r="19" spans="1:14" ht="19" x14ac:dyDescent="0.25">
      <c r="A19" s="12">
        <v>0.60362836133254505</v>
      </c>
      <c r="C19" t="s">
        <v>11</v>
      </c>
      <c r="D19">
        <v>863330686.05876601</v>
      </c>
      <c r="E19" s="13">
        <f>(D19/D24)</f>
        <v>0.39325898044647412</v>
      </c>
      <c r="N19" s="2"/>
    </row>
    <row r="20" spans="1:14" x14ac:dyDescent="0.2">
      <c r="C20" t="s">
        <v>12</v>
      </c>
      <c r="D20">
        <v>224116845.06338501</v>
      </c>
      <c r="E20" s="13">
        <f>(D20/D24)</f>
        <v>0.10208829989915114</v>
      </c>
    </row>
    <row r="21" spans="1:14" x14ac:dyDescent="0.2">
      <c r="C21" t="s">
        <v>20</v>
      </c>
      <c r="D21">
        <v>100439746.88032</v>
      </c>
      <c r="E21" s="13">
        <f>(D21/D24)</f>
        <v>4.5751683673812944E-2</v>
      </c>
    </row>
    <row r="22" spans="1:14" x14ac:dyDescent="0.2">
      <c r="C22" t="s">
        <v>13</v>
      </c>
      <c r="D22">
        <v>32364140.417916998</v>
      </c>
      <c r="E22" s="13">
        <f>(D22/D24)</f>
        <v>1.4742310298130903E-2</v>
      </c>
    </row>
    <row r="23" spans="1:14" x14ac:dyDescent="0.2">
      <c r="C23" t="s">
        <v>14</v>
      </c>
      <c r="D23">
        <v>137965175.74402201</v>
      </c>
      <c r="E23" s="13">
        <f>(D23/D24)</f>
        <v>6.2845031720000236E-2</v>
      </c>
    </row>
    <row r="24" spans="1:14" x14ac:dyDescent="0.2">
      <c r="D24">
        <f>SUM(D16:D23)</f>
        <v>2195323511.947803</v>
      </c>
    </row>
  </sheetData>
  <pageMargins left="0.7" right="0.7" top="0.75" bottom="0.75" header="0.3" footer="0.3"/>
  <ignoredErrors>
    <ignoredError sqref="K3:K1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7ACC-2CCC-6546-9528-7EFE3F39ACFF}">
  <dimension ref="A1:N24"/>
  <sheetViews>
    <sheetView workbookViewId="0">
      <selection activeCell="A16" sqref="A16"/>
    </sheetView>
  </sheetViews>
  <sheetFormatPr baseColWidth="10" defaultRowHeight="16" x14ac:dyDescent="0.2"/>
  <sheetData>
    <row r="1" spans="1:14" x14ac:dyDescent="0.2">
      <c r="A1" s="1" t="s">
        <v>0</v>
      </c>
    </row>
    <row r="2" spans="1:14" x14ac:dyDescent="0.2"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21</v>
      </c>
      <c r="H2" t="s">
        <v>22</v>
      </c>
      <c r="I2" t="s">
        <v>23</v>
      </c>
      <c r="J2" t="s">
        <v>24</v>
      </c>
      <c r="K2" s="5" t="s">
        <v>1</v>
      </c>
      <c r="L2" s="9" t="s">
        <v>4</v>
      </c>
    </row>
    <row r="3" spans="1:14" ht="19" x14ac:dyDescent="0.25">
      <c r="A3">
        <v>0</v>
      </c>
      <c r="B3" s="4">
        <v>414</v>
      </c>
      <c r="C3">
        <v>0</v>
      </c>
      <c r="D3">
        <v>79</v>
      </c>
      <c r="E3">
        <v>13</v>
      </c>
      <c r="F3">
        <v>45</v>
      </c>
      <c r="G3">
        <v>2</v>
      </c>
      <c r="H3">
        <v>0</v>
      </c>
      <c r="I3">
        <v>5</v>
      </c>
      <c r="J3">
        <v>24</v>
      </c>
      <c r="K3" s="6">
        <f>SUM(B3:J3)</f>
        <v>582</v>
      </c>
      <c r="L3" s="11">
        <f>ROUND((B3/K3), 4)</f>
        <v>0.71130000000000004</v>
      </c>
      <c r="N3" s="3"/>
    </row>
    <row r="4" spans="1:14" ht="19" x14ac:dyDescent="0.25">
      <c r="A4">
        <v>1</v>
      </c>
      <c r="B4">
        <v>0</v>
      </c>
      <c r="C4" s="4">
        <v>0</v>
      </c>
      <c r="D4">
        <v>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s="6">
        <f t="shared" ref="K4:K11" si="0">SUM(B4:J4)</f>
        <v>2</v>
      </c>
      <c r="L4" s="11">
        <f>ROUND((C4/K4), 4)</f>
        <v>0</v>
      </c>
      <c r="N4" s="2"/>
    </row>
    <row r="5" spans="1:14" ht="19" x14ac:dyDescent="0.25">
      <c r="A5">
        <v>2</v>
      </c>
      <c r="B5">
        <v>78</v>
      </c>
      <c r="C5">
        <v>0</v>
      </c>
      <c r="D5" s="4">
        <v>413</v>
      </c>
      <c r="E5">
        <v>55</v>
      </c>
      <c r="F5">
        <v>28</v>
      </c>
      <c r="G5">
        <v>2</v>
      </c>
      <c r="H5">
        <v>0</v>
      </c>
      <c r="I5">
        <v>1</v>
      </c>
      <c r="J5">
        <v>15</v>
      </c>
      <c r="K5" s="6">
        <f t="shared" si="0"/>
        <v>592</v>
      </c>
      <c r="L5" s="11">
        <f>ROUND((D5/K5), 4)</f>
        <v>0.6976</v>
      </c>
      <c r="N5" s="3"/>
    </row>
    <row r="6" spans="1:14" ht="19" x14ac:dyDescent="0.25">
      <c r="A6">
        <v>3</v>
      </c>
      <c r="B6">
        <v>17</v>
      </c>
      <c r="C6">
        <v>0</v>
      </c>
      <c r="D6">
        <v>37</v>
      </c>
      <c r="E6" s="4">
        <v>402</v>
      </c>
      <c r="F6">
        <v>69</v>
      </c>
      <c r="G6">
        <v>30</v>
      </c>
      <c r="H6">
        <v>0</v>
      </c>
      <c r="I6">
        <v>1</v>
      </c>
      <c r="J6">
        <v>45</v>
      </c>
      <c r="K6" s="6">
        <f t="shared" si="0"/>
        <v>601</v>
      </c>
      <c r="L6" s="11">
        <f>ROUND((E6/K6), 4)</f>
        <v>0.66890000000000005</v>
      </c>
      <c r="N6" s="2"/>
    </row>
    <row r="7" spans="1:14" ht="19" x14ac:dyDescent="0.25">
      <c r="A7">
        <v>4</v>
      </c>
      <c r="B7">
        <v>25</v>
      </c>
      <c r="C7">
        <v>0</v>
      </c>
      <c r="D7">
        <v>25</v>
      </c>
      <c r="E7">
        <v>98</v>
      </c>
      <c r="F7" s="4">
        <v>386</v>
      </c>
      <c r="G7">
        <v>53</v>
      </c>
      <c r="H7">
        <v>0</v>
      </c>
      <c r="I7">
        <v>6</v>
      </c>
      <c r="J7">
        <v>7</v>
      </c>
      <c r="K7" s="6">
        <f t="shared" si="0"/>
        <v>600</v>
      </c>
      <c r="L7" s="11">
        <f>ROUND((F7/K7), 4)</f>
        <v>0.64329999999999998</v>
      </c>
      <c r="N7" s="3"/>
    </row>
    <row r="8" spans="1:14" ht="19" x14ac:dyDescent="0.25">
      <c r="A8">
        <v>5</v>
      </c>
      <c r="B8">
        <v>8</v>
      </c>
      <c r="C8">
        <v>0</v>
      </c>
      <c r="D8">
        <v>43</v>
      </c>
      <c r="E8">
        <v>85</v>
      </c>
      <c r="F8">
        <v>30</v>
      </c>
      <c r="G8" s="4">
        <v>395</v>
      </c>
      <c r="H8">
        <v>0</v>
      </c>
      <c r="I8">
        <v>31</v>
      </c>
      <c r="J8">
        <v>17</v>
      </c>
      <c r="K8" s="6">
        <f t="shared" si="0"/>
        <v>609</v>
      </c>
      <c r="L8" s="11">
        <f>ROUND((G8/K8), 4)</f>
        <v>0.64859999999999995</v>
      </c>
      <c r="N8" s="2"/>
    </row>
    <row r="9" spans="1:14" ht="19" x14ac:dyDescent="0.25">
      <c r="A9">
        <v>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 s="4">
        <v>0</v>
      </c>
      <c r="I9">
        <v>0</v>
      </c>
      <c r="J9">
        <v>0</v>
      </c>
      <c r="K9" s="6">
        <f t="shared" si="0"/>
        <v>0</v>
      </c>
      <c r="L9" s="11">
        <v>0</v>
      </c>
      <c r="N9" s="3"/>
    </row>
    <row r="10" spans="1:14" ht="19" x14ac:dyDescent="0.25">
      <c r="A10">
        <v>7</v>
      </c>
      <c r="B10">
        <v>11</v>
      </c>
      <c r="C10">
        <v>0</v>
      </c>
      <c r="D10">
        <v>2</v>
      </c>
      <c r="E10">
        <v>6</v>
      </c>
      <c r="F10">
        <v>9</v>
      </c>
      <c r="G10">
        <v>49</v>
      </c>
      <c r="H10">
        <v>0</v>
      </c>
      <c r="I10" s="4">
        <v>490</v>
      </c>
      <c r="J10">
        <v>58</v>
      </c>
      <c r="K10" s="6">
        <f t="shared" si="0"/>
        <v>625</v>
      </c>
      <c r="L10" s="11">
        <f>ROUND((I10/K10), 4)</f>
        <v>0.78400000000000003</v>
      </c>
      <c r="N10" s="2"/>
    </row>
    <row r="11" spans="1:14" ht="19" x14ac:dyDescent="0.25">
      <c r="A11">
        <v>8</v>
      </c>
      <c r="B11">
        <v>41</v>
      </c>
      <c r="C11">
        <v>0</v>
      </c>
      <c r="D11">
        <v>39</v>
      </c>
      <c r="E11">
        <v>44</v>
      </c>
      <c r="F11">
        <v>11</v>
      </c>
      <c r="G11">
        <v>6</v>
      </c>
      <c r="H11">
        <v>0</v>
      </c>
      <c r="I11">
        <v>36</v>
      </c>
      <c r="J11" s="4">
        <v>413</v>
      </c>
      <c r="K11" s="6">
        <f t="shared" si="0"/>
        <v>590</v>
      </c>
      <c r="L11" s="11">
        <f>ROUND((J11/K11), 4)</f>
        <v>0.7</v>
      </c>
      <c r="N11" s="3"/>
    </row>
    <row r="12" spans="1:14" ht="19" x14ac:dyDescent="0.25">
      <c r="A12" s="5" t="s">
        <v>2</v>
      </c>
      <c r="B12" s="6">
        <f>SUM(B3:B11)</f>
        <v>594</v>
      </c>
      <c r="C12" s="6">
        <f t="shared" ref="C12:J12" si="1">SUM(C3:C11)</f>
        <v>0</v>
      </c>
      <c r="D12" s="6">
        <f t="shared" si="1"/>
        <v>640</v>
      </c>
      <c r="E12" s="6">
        <f t="shared" si="1"/>
        <v>703</v>
      </c>
      <c r="F12" s="6">
        <f t="shared" si="1"/>
        <v>578</v>
      </c>
      <c r="G12" s="6">
        <f t="shared" si="1"/>
        <v>537</v>
      </c>
      <c r="H12" s="6">
        <f t="shared" si="1"/>
        <v>0</v>
      </c>
      <c r="I12" s="6">
        <f t="shared" si="1"/>
        <v>570</v>
      </c>
      <c r="J12" s="6">
        <f t="shared" si="1"/>
        <v>579</v>
      </c>
      <c r="K12" s="7">
        <f>SUM(K3:K11)</f>
        <v>4201</v>
      </c>
      <c r="L12" s="8"/>
      <c r="N12" s="2"/>
    </row>
    <row r="13" spans="1:14" ht="19" x14ac:dyDescent="0.25">
      <c r="A13" s="9" t="s">
        <v>3</v>
      </c>
      <c r="B13" s="11">
        <f>ROUND((B3/B12), 4)</f>
        <v>0.69699999999999995</v>
      </c>
      <c r="C13" s="10" t="e">
        <f>ROUND((C4/C12), 4)</f>
        <v>#DIV/0!</v>
      </c>
      <c r="D13" s="11">
        <f>ROUND((D5/D12), 4)</f>
        <v>0.64529999999999998</v>
      </c>
      <c r="E13" s="11">
        <f>ROUND((E6/E12), 4)</f>
        <v>0.57179999999999997</v>
      </c>
      <c r="F13" s="11">
        <f>ROUND((F7/F12), 4)</f>
        <v>0.66779999999999995</v>
      </c>
      <c r="G13" s="11">
        <f>ROUND((G8/G12), 4)</f>
        <v>0.73560000000000003</v>
      </c>
      <c r="H13" s="11">
        <v>0</v>
      </c>
      <c r="I13" s="11">
        <f>ROUND((I10/I12), 4)</f>
        <v>0.85960000000000003</v>
      </c>
      <c r="J13" s="11">
        <f>ROUND((J11/J12), 4)</f>
        <v>0.71330000000000005</v>
      </c>
      <c r="K13" s="8"/>
      <c r="L13" s="8"/>
      <c r="N13" s="3"/>
    </row>
    <row r="14" spans="1:14" ht="19" x14ac:dyDescent="0.25">
      <c r="A14" s="3"/>
      <c r="N14" s="2"/>
    </row>
    <row r="15" spans="1:14" ht="19" x14ac:dyDescent="0.25">
      <c r="A15" s="1" t="s">
        <v>5</v>
      </c>
      <c r="C15" s="1" t="s">
        <v>7</v>
      </c>
      <c r="N15" s="3"/>
    </row>
    <row r="16" spans="1:14" ht="19" x14ac:dyDescent="0.25">
      <c r="A16" s="13">
        <v>0.69340633182575495</v>
      </c>
      <c r="C16" t="s">
        <v>8</v>
      </c>
      <c r="D16">
        <v>319907915.61914098</v>
      </c>
      <c r="E16" s="13">
        <f>(D16/D24)</f>
        <v>0.14481270122305459</v>
      </c>
      <c r="N16" s="2"/>
    </row>
    <row r="17" spans="1:14" ht="19" x14ac:dyDescent="0.25">
      <c r="C17" t="s">
        <v>9</v>
      </c>
      <c r="D17">
        <v>7109.7809182559704</v>
      </c>
      <c r="E17" s="13">
        <f>(D17/D24)</f>
        <v>3.2183841962276649E-6</v>
      </c>
      <c r="N17" s="3"/>
    </row>
    <row r="18" spans="1:14" ht="19" x14ac:dyDescent="0.25">
      <c r="A18" s="1" t="s">
        <v>6</v>
      </c>
      <c r="C18" t="s">
        <v>10</v>
      </c>
      <c r="D18">
        <v>505492091.63282198</v>
      </c>
      <c r="E18" s="13">
        <f>(D18/D24)</f>
        <v>0.22882108151206038</v>
      </c>
      <c r="N18" s="2"/>
    </row>
    <row r="19" spans="1:14" ht="19" x14ac:dyDescent="0.25">
      <c r="A19" s="12">
        <v>0.64236450929326205</v>
      </c>
      <c r="C19" t="s">
        <v>11</v>
      </c>
      <c r="D19">
        <v>868834748.22221696</v>
      </c>
      <c r="E19" s="13">
        <f>(D19/D24)</f>
        <v>0.39329538490164112</v>
      </c>
      <c r="N19" s="3"/>
    </row>
    <row r="20" spans="1:14" ht="19" x14ac:dyDescent="0.25">
      <c r="C20" t="s">
        <v>12</v>
      </c>
      <c r="D20">
        <v>288317213.19645101</v>
      </c>
      <c r="E20" s="13">
        <f>(D20/D24)</f>
        <v>0.13051253943271687</v>
      </c>
      <c r="N20" s="2"/>
    </row>
    <row r="21" spans="1:14" x14ac:dyDescent="0.2">
      <c r="C21" t="s">
        <v>20</v>
      </c>
      <c r="D21">
        <v>74869152.552120894</v>
      </c>
      <c r="E21" s="13">
        <f>(D21/D24)</f>
        <v>3.3891015789247546E-2</v>
      </c>
    </row>
    <row r="22" spans="1:14" x14ac:dyDescent="0.2">
      <c r="C22" t="s">
        <v>13</v>
      </c>
      <c r="D22">
        <v>46079113.918038599</v>
      </c>
      <c r="E22" s="13">
        <f>(D22/D24)</f>
        <v>2.0858630345302921E-2</v>
      </c>
    </row>
    <row r="23" spans="1:14" x14ac:dyDescent="0.2">
      <c r="C23" t="s">
        <v>14</v>
      </c>
      <c r="D23">
        <v>105607690.68823899</v>
      </c>
      <c r="E23" s="13">
        <f>(D23/D24)</f>
        <v>4.7805428411780371E-2</v>
      </c>
    </row>
    <row r="24" spans="1:14" x14ac:dyDescent="0.2">
      <c r="D24">
        <f>SUM(D16:D23)</f>
        <v>2209115035.6099477</v>
      </c>
    </row>
  </sheetData>
  <pageMargins left="0.7" right="0.7" top="0.75" bottom="0.75" header="0.3" footer="0.3"/>
  <ignoredErrors>
    <ignoredError sqref="K3:K11" formulaRange="1"/>
    <ignoredError sqref="C13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A15D3-B0A5-2B43-ACF1-8B933365641E}">
  <dimension ref="A1:N24"/>
  <sheetViews>
    <sheetView workbookViewId="0">
      <selection activeCell="K26" sqref="K26"/>
    </sheetView>
  </sheetViews>
  <sheetFormatPr baseColWidth="10" defaultRowHeight="16" x14ac:dyDescent="0.2"/>
  <sheetData>
    <row r="1" spans="1:14" x14ac:dyDescent="0.2">
      <c r="A1" s="1" t="s">
        <v>0</v>
      </c>
    </row>
    <row r="2" spans="1:14" ht="19" x14ac:dyDescent="0.25"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21</v>
      </c>
      <c r="H2" t="s">
        <v>22</v>
      </c>
      <c r="I2" t="s">
        <v>23</v>
      </c>
      <c r="J2" t="s">
        <v>24</v>
      </c>
      <c r="K2" s="5" t="s">
        <v>1</v>
      </c>
      <c r="L2" s="9" t="s">
        <v>4</v>
      </c>
      <c r="N2" s="2"/>
    </row>
    <row r="3" spans="1:14" ht="19" x14ac:dyDescent="0.25">
      <c r="A3">
        <v>0</v>
      </c>
      <c r="B3" s="4">
        <v>422</v>
      </c>
      <c r="C3">
        <v>0</v>
      </c>
      <c r="D3">
        <v>85</v>
      </c>
      <c r="E3">
        <v>43</v>
      </c>
      <c r="F3">
        <v>40</v>
      </c>
      <c r="G3">
        <v>0</v>
      </c>
      <c r="H3">
        <v>0</v>
      </c>
      <c r="I3">
        <v>6</v>
      </c>
      <c r="J3">
        <v>14</v>
      </c>
      <c r="K3" s="6">
        <f>SUM(B3:J3)</f>
        <v>610</v>
      </c>
      <c r="L3" s="11">
        <f>ROUND((B3/K3), 4)</f>
        <v>0.69179999999999997</v>
      </c>
      <c r="N3" s="3"/>
    </row>
    <row r="4" spans="1:14" ht="19" x14ac:dyDescent="0.25">
      <c r="A4">
        <v>1</v>
      </c>
      <c r="B4">
        <v>0</v>
      </c>
      <c r="C4" s="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s="6">
        <f t="shared" ref="K4:K11" si="0">SUM(B4:J4)</f>
        <v>1</v>
      </c>
      <c r="L4" s="11">
        <f>ROUND((C4/K4), 4)</f>
        <v>0</v>
      </c>
      <c r="N4" s="2"/>
    </row>
    <row r="5" spans="1:14" ht="19" x14ac:dyDescent="0.25">
      <c r="A5">
        <v>2</v>
      </c>
      <c r="B5">
        <v>90</v>
      </c>
      <c r="C5">
        <v>0</v>
      </c>
      <c r="D5" s="4">
        <v>389</v>
      </c>
      <c r="E5">
        <v>66</v>
      </c>
      <c r="F5">
        <v>35</v>
      </c>
      <c r="G5">
        <v>2</v>
      </c>
      <c r="H5">
        <v>0</v>
      </c>
      <c r="I5">
        <v>3</v>
      </c>
      <c r="J5">
        <v>9</v>
      </c>
      <c r="K5" s="6">
        <f t="shared" si="0"/>
        <v>594</v>
      </c>
      <c r="L5" s="11">
        <f>ROUND((D5/K5), 4)</f>
        <v>0.65490000000000004</v>
      </c>
      <c r="N5" s="3"/>
    </row>
    <row r="6" spans="1:14" ht="19" x14ac:dyDescent="0.25">
      <c r="A6">
        <v>3</v>
      </c>
      <c r="B6">
        <v>30</v>
      </c>
      <c r="C6">
        <v>0</v>
      </c>
      <c r="D6">
        <v>38</v>
      </c>
      <c r="E6" s="4">
        <v>423</v>
      </c>
      <c r="F6">
        <v>68</v>
      </c>
      <c r="G6">
        <v>9</v>
      </c>
      <c r="H6">
        <v>0</v>
      </c>
      <c r="I6">
        <v>0</v>
      </c>
      <c r="J6">
        <v>20</v>
      </c>
      <c r="K6" s="6">
        <f t="shared" si="0"/>
        <v>588</v>
      </c>
      <c r="L6" s="11">
        <f>ROUND((E6/K6), 4)</f>
        <v>0.71940000000000004</v>
      </c>
      <c r="N6" s="2"/>
    </row>
    <row r="7" spans="1:14" ht="19" x14ac:dyDescent="0.25">
      <c r="A7">
        <v>4</v>
      </c>
      <c r="B7">
        <v>25</v>
      </c>
      <c r="C7">
        <v>0</v>
      </c>
      <c r="D7">
        <v>19</v>
      </c>
      <c r="E7">
        <v>68</v>
      </c>
      <c r="F7" s="4">
        <v>419</v>
      </c>
      <c r="G7">
        <v>54</v>
      </c>
      <c r="H7">
        <v>0</v>
      </c>
      <c r="I7">
        <v>5</v>
      </c>
      <c r="J7">
        <v>7</v>
      </c>
      <c r="K7" s="6">
        <f t="shared" si="0"/>
        <v>597</v>
      </c>
      <c r="L7" s="11">
        <f>ROUND((F7/K7), 4)</f>
        <v>0.70179999999999998</v>
      </c>
      <c r="N7" s="3"/>
    </row>
    <row r="8" spans="1:14" ht="19" x14ac:dyDescent="0.25">
      <c r="A8">
        <v>5</v>
      </c>
      <c r="B8">
        <v>4</v>
      </c>
      <c r="C8">
        <v>0</v>
      </c>
      <c r="D8">
        <v>21</v>
      </c>
      <c r="E8">
        <v>45</v>
      </c>
      <c r="F8">
        <v>64</v>
      </c>
      <c r="G8" s="4">
        <v>386</v>
      </c>
      <c r="H8">
        <v>0</v>
      </c>
      <c r="I8">
        <v>33</v>
      </c>
      <c r="J8">
        <v>21</v>
      </c>
      <c r="K8" s="6">
        <f t="shared" si="0"/>
        <v>574</v>
      </c>
      <c r="L8" s="11">
        <f>ROUND((G8/K8), 4)</f>
        <v>0.67249999999999999</v>
      </c>
      <c r="N8" s="2"/>
    </row>
    <row r="9" spans="1:14" ht="19" x14ac:dyDescent="0.25">
      <c r="A9">
        <v>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 s="4">
        <v>0</v>
      </c>
      <c r="I9">
        <v>0</v>
      </c>
      <c r="J9">
        <v>0</v>
      </c>
      <c r="K9" s="6">
        <f t="shared" si="0"/>
        <v>0</v>
      </c>
      <c r="L9" s="11">
        <v>0</v>
      </c>
      <c r="N9" s="3"/>
    </row>
    <row r="10" spans="1:14" ht="19" x14ac:dyDescent="0.25">
      <c r="A10">
        <v>7</v>
      </c>
      <c r="B10">
        <v>13</v>
      </c>
      <c r="C10">
        <v>0</v>
      </c>
      <c r="D10">
        <v>3</v>
      </c>
      <c r="E10">
        <v>8</v>
      </c>
      <c r="F10">
        <v>9</v>
      </c>
      <c r="G10">
        <v>60</v>
      </c>
      <c r="H10">
        <v>0</v>
      </c>
      <c r="I10" s="4">
        <v>437</v>
      </c>
      <c r="J10">
        <v>53</v>
      </c>
      <c r="K10" s="6">
        <f t="shared" si="0"/>
        <v>583</v>
      </c>
      <c r="L10" s="11">
        <f>ROUND((I10/K10), 4)</f>
        <v>0.74960000000000004</v>
      </c>
      <c r="N10" s="2"/>
    </row>
    <row r="11" spans="1:14" ht="19" x14ac:dyDescent="0.25">
      <c r="A11">
        <v>8</v>
      </c>
      <c r="B11">
        <v>31</v>
      </c>
      <c r="C11">
        <v>0</v>
      </c>
      <c r="D11">
        <v>35</v>
      </c>
      <c r="E11">
        <v>51</v>
      </c>
      <c r="F11">
        <v>9</v>
      </c>
      <c r="G11">
        <v>9</v>
      </c>
      <c r="H11">
        <v>0</v>
      </c>
      <c r="I11">
        <v>48</v>
      </c>
      <c r="J11" s="4">
        <v>407</v>
      </c>
      <c r="K11" s="6">
        <f t="shared" si="0"/>
        <v>590</v>
      </c>
      <c r="L11" s="11">
        <f>ROUND((J11/K11), 4)</f>
        <v>0.68979999999999997</v>
      </c>
      <c r="N11" s="3"/>
    </row>
    <row r="12" spans="1:14" ht="19" x14ac:dyDescent="0.25">
      <c r="A12" s="5" t="s">
        <v>2</v>
      </c>
      <c r="B12" s="6">
        <f>SUM(B3:B11)</f>
        <v>615</v>
      </c>
      <c r="C12" s="6">
        <f t="shared" ref="C12:J12" si="1">SUM(C3:C11)</f>
        <v>0</v>
      </c>
      <c r="D12" s="6">
        <f t="shared" si="1"/>
        <v>591</v>
      </c>
      <c r="E12" s="6">
        <f t="shared" si="1"/>
        <v>704</v>
      </c>
      <c r="F12" s="6">
        <f t="shared" si="1"/>
        <v>644</v>
      </c>
      <c r="G12" s="6">
        <f t="shared" si="1"/>
        <v>520</v>
      </c>
      <c r="H12" s="6">
        <f t="shared" si="1"/>
        <v>0</v>
      </c>
      <c r="I12" s="6">
        <f t="shared" si="1"/>
        <v>532</v>
      </c>
      <c r="J12" s="6">
        <f t="shared" si="1"/>
        <v>531</v>
      </c>
      <c r="K12" s="7">
        <f>SUM(K3:K11)</f>
        <v>4137</v>
      </c>
      <c r="L12" s="8"/>
      <c r="N12" s="2"/>
    </row>
    <row r="13" spans="1:14" ht="19" x14ac:dyDescent="0.25">
      <c r="A13" s="9" t="s">
        <v>3</v>
      </c>
      <c r="B13" s="11">
        <f>ROUND((B3/B12), 4)</f>
        <v>0.68620000000000003</v>
      </c>
      <c r="C13" s="10" t="e">
        <f>ROUND((C4/C12), 4)</f>
        <v>#DIV/0!</v>
      </c>
      <c r="D13" s="11">
        <f>ROUND((D5/D12), 4)</f>
        <v>0.65820000000000001</v>
      </c>
      <c r="E13" s="11">
        <f>ROUND((E6/E12), 4)</f>
        <v>0.60089999999999999</v>
      </c>
      <c r="F13" s="11">
        <f>ROUND((F7/F12), 4)</f>
        <v>0.65059999999999996</v>
      </c>
      <c r="G13" s="11">
        <f>ROUND((G8/G12), 4)</f>
        <v>0.74229999999999996</v>
      </c>
      <c r="H13" s="11">
        <v>0</v>
      </c>
      <c r="I13" s="11">
        <f>ROUND((I10/I12), 4)</f>
        <v>0.82140000000000002</v>
      </c>
      <c r="J13" s="11">
        <f>ROUND((J11/J12), 4)</f>
        <v>0.76649999999999996</v>
      </c>
      <c r="K13" s="8"/>
      <c r="L13" s="8"/>
      <c r="N13" s="3"/>
    </row>
    <row r="14" spans="1:14" ht="19" x14ac:dyDescent="0.25">
      <c r="A14" s="3"/>
      <c r="N14" s="2"/>
    </row>
    <row r="15" spans="1:14" ht="19" x14ac:dyDescent="0.25">
      <c r="A15" s="1" t="s">
        <v>5</v>
      </c>
      <c r="C15" s="1" t="s">
        <v>7</v>
      </c>
      <c r="N15" s="3"/>
    </row>
    <row r="16" spans="1:14" ht="19" x14ac:dyDescent="0.25">
      <c r="A16" s="12">
        <v>0.69688179840464104</v>
      </c>
      <c r="C16" t="s">
        <v>8</v>
      </c>
      <c r="D16">
        <v>332762594.19404501</v>
      </c>
      <c r="E16" s="13">
        <f>(D16/D24)</f>
        <v>0.15092892246560724</v>
      </c>
      <c r="N16" s="2"/>
    </row>
    <row r="17" spans="1:14" ht="19" x14ac:dyDescent="0.25">
      <c r="C17" t="s">
        <v>9</v>
      </c>
      <c r="D17">
        <v>2894.10458768956</v>
      </c>
      <c r="E17" s="13">
        <f>(D17/D24)</f>
        <v>1.3126598197754184E-6</v>
      </c>
      <c r="N17" s="3"/>
    </row>
    <row r="18" spans="1:14" ht="19" x14ac:dyDescent="0.25">
      <c r="A18" s="1" t="s">
        <v>6</v>
      </c>
      <c r="C18" t="s">
        <v>10</v>
      </c>
      <c r="D18">
        <v>503981681.72420502</v>
      </c>
      <c r="E18" s="13">
        <f>(D18/D24)</f>
        <v>0.22858762821365253</v>
      </c>
      <c r="N18" s="2"/>
    </row>
    <row r="19" spans="1:14" x14ac:dyDescent="0.2">
      <c r="A19" s="12">
        <v>0.64632393339641303</v>
      </c>
      <c r="C19" t="s">
        <v>11</v>
      </c>
      <c r="D19">
        <v>979212099.30081296</v>
      </c>
      <c r="E19" s="13">
        <f>(D19/D24)</f>
        <v>0.44413473626959038</v>
      </c>
    </row>
    <row r="20" spans="1:14" x14ac:dyDescent="0.2">
      <c r="C20" t="s">
        <v>12</v>
      </c>
      <c r="D20">
        <v>237789802.41671699</v>
      </c>
      <c r="E20" s="13">
        <f>(D20/D24)</f>
        <v>0.10785274330184016</v>
      </c>
    </row>
    <row r="21" spans="1:14" x14ac:dyDescent="0.2">
      <c r="C21" t="s">
        <v>20</v>
      </c>
      <c r="D21">
        <v>44273674.3119829</v>
      </c>
      <c r="E21" s="13">
        <f>(D21/D24)</f>
        <v>2.0080916767959239E-2</v>
      </c>
    </row>
    <row r="22" spans="1:14" x14ac:dyDescent="0.2">
      <c r="C22" t="s">
        <v>13</v>
      </c>
      <c r="D22">
        <v>40508309.731305301</v>
      </c>
      <c r="E22" s="13">
        <f>(D22/D24)</f>
        <v>1.8373085332673466E-2</v>
      </c>
    </row>
    <row r="23" spans="1:14" x14ac:dyDescent="0.2">
      <c r="C23" t="s">
        <v>14</v>
      </c>
      <c r="D23">
        <v>66232542.590757102</v>
      </c>
      <c r="E23" s="13">
        <f>(D23/D24)</f>
        <v>3.0040654988857218E-2</v>
      </c>
    </row>
    <row r="24" spans="1:14" x14ac:dyDescent="0.2">
      <c r="D24">
        <f>SUM(D16:D23)</f>
        <v>2204763598.374413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96A61-E2CF-D640-B2A7-BF00AA8CE071}">
  <dimension ref="A1:N24"/>
  <sheetViews>
    <sheetView workbookViewId="0">
      <selection activeCell="I26" sqref="I26"/>
    </sheetView>
  </sheetViews>
  <sheetFormatPr baseColWidth="10" defaultRowHeight="16" x14ac:dyDescent="0.2"/>
  <sheetData>
    <row r="1" spans="1:14" x14ac:dyDescent="0.2">
      <c r="A1" s="1" t="s">
        <v>0</v>
      </c>
    </row>
    <row r="2" spans="1:14" ht="19" x14ac:dyDescent="0.25"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21</v>
      </c>
      <c r="H2" t="s">
        <v>22</v>
      </c>
      <c r="I2" t="s">
        <v>23</v>
      </c>
      <c r="J2" t="s">
        <v>24</v>
      </c>
      <c r="K2" s="5" t="s">
        <v>1</v>
      </c>
      <c r="L2" s="9" t="s">
        <v>4</v>
      </c>
      <c r="N2" s="2"/>
    </row>
    <row r="3" spans="1:14" ht="19" x14ac:dyDescent="0.25">
      <c r="A3">
        <v>0</v>
      </c>
      <c r="B3" s="4">
        <v>372</v>
      </c>
      <c r="C3">
        <v>0</v>
      </c>
      <c r="D3">
        <v>98</v>
      </c>
      <c r="E3">
        <v>29</v>
      </c>
      <c r="F3">
        <v>40</v>
      </c>
      <c r="G3">
        <v>1</v>
      </c>
      <c r="H3">
        <v>0</v>
      </c>
      <c r="I3">
        <v>6</v>
      </c>
      <c r="J3">
        <v>20</v>
      </c>
      <c r="K3" s="6">
        <f>SUM(B3:J3)</f>
        <v>566</v>
      </c>
      <c r="L3" s="11">
        <f>ROUND((B3/K3), 4)</f>
        <v>0.65720000000000001</v>
      </c>
      <c r="N3" s="3"/>
    </row>
    <row r="4" spans="1:14" ht="19" x14ac:dyDescent="0.25">
      <c r="A4">
        <v>1</v>
      </c>
      <c r="B4">
        <v>0</v>
      </c>
      <c r="C4" s="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s="6">
        <f t="shared" ref="K4:K11" si="0">SUM(B4:J4)</f>
        <v>1</v>
      </c>
      <c r="L4" s="11">
        <f>ROUND((C4/K4), 4)</f>
        <v>0</v>
      </c>
      <c r="N4" s="2"/>
    </row>
    <row r="5" spans="1:14" ht="19" x14ac:dyDescent="0.25">
      <c r="A5">
        <v>2</v>
      </c>
      <c r="B5">
        <v>64</v>
      </c>
      <c r="C5">
        <v>0</v>
      </c>
      <c r="D5" s="4">
        <v>443</v>
      </c>
      <c r="E5">
        <v>52</v>
      </c>
      <c r="F5">
        <v>31</v>
      </c>
      <c r="G5">
        <v>1</v>
      </c>
      <c r="H5">
        <v>0</v>
      </c>
      <c r="I5">
        <v>1</v>
      </c>
      <c r="J5">
        <v>11</v>
      </c>
      <c r="K5" s="6">
        <f t="shared" si="0"/>
        <v>603</v>
      </c>
      <c r="L5" s="11">
        <f>ROUND((D5/K5), 4)</f>
        <v>0.73470000000000002</v>
      </c>
      <c r="N5" s="3"/>
    </row>
    <row r="6" spans="1:14" ht="19" x14ac:dyDescent="0.25">
      <c r="A6">
        <v>3</v>
      </c>
      <c r="B6">
        <v>32</v>
      </c>
      <c r="C6">
        <v>0</v>
      </c>
      <c r="D6">
        <v>49</v>
      </c>
      <c r="E6" s="4">
        <v>446</v>
      </c>
      <c r="F6">
        <v>49</v>
      </c>
      <c r="G6">
        <v>13</v>
      </c>
      <c r="H6">
        <v>0</v>
      </c>
      <c r="I6">
        <v>0</v>
      </c>
      <c r="J6">
        <v>7</v>
      </c>
      <c r="K6" s="6">
        <f t="shared" si="0"/>
        <v>596</v>
      </c>
      <c r="L6" s="11">
        <f>ROUND((E6/K6), 4)</f>
        <v>0.74829999999999997</v>
      </c>
      <c r="N6" s="2"/>
    </row>
    <row r="7" spans="1:14" ht="19" x14ac:dyDescent="0.25">
      <c r="A7">
        <v>4</v>
      </c>
      <c r="B7">
        <v>20</v>
      </c>
      <c r="C7">
        <v>0</v>
      </c>
      <c r="D7">
        <v>11</v>
      </c>
      <c r="E7">
        <v>62</v>
      </c>
      <c r="F7" s="4">
        <v>450</v>
      </c>
      <c r="G7">
        <v>43</v>
      </c>
      <c r="H7">
        <v>0</v>
      </c>
      <c r="I7">
        <v>3</v>
      </c>
      <c r="J7">
        <v>8</v>
      </c>
      <c r="K7" s="6">
        <f t="shared" si="0"/>
        <v>597</v>
      </c>
      <c r="L7" s="11">
        <f>ROUND((F7/K7), 4)</f>
        <v>0.75380000000000003</v>
      </c>
      <c r="N7" s="3"/>
    </row>
    <row r="8" spans="1:14" ht="19" x14ac:dyDescent="0.25">
      <c r="A8">
        <v>5</v>
      </c>
      <c r="B8">
        <v>3</v>
      </c>
      <c r="C8">
        <v>0</v>
      </c>
      <c r="D8">
        <v>6</v>
      </c>
      <c r="E8">
        <v>43</v>
      </c>
      <c r="F8">
        <v>40</v>
      </c>
      <c r="G8" s="4">
        <v>514</v>
      </c>
      <c r="H8">
        <v>0</v>
      </c>
      <c r="I8">
        <v>39</v>
      </c>
      <c r="J8">
        <v>5</v>
      </c>
      <c r="K8" s="6">
        <f t="shared" si="0"/>
        <v>650</v>
      </c>
      <c r="L8" s="11">
        <f>ROUND((G8/K8), 4)</f>
        <v>0.79079999999999995</v>
      </c>
      <c r="N8" s="2"/>
    </row>
    <row r="9" spans="1:14" ht="19" x14ac:dyDescent="0.25">
      <c r="A9">
        <v>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 s="4">
        <v>0</v>
      </c>
      <c r="I9">
        <v>0</v>
      </c>
      <c r="J9">
        <v>0</v>
      </c>
      <c r="K9" s="6">
        <f t="shared" si="0"/>
        <v>0</v>
      </c>
      <c r="L9" s="11">
        <v>0</v>
      </c>
      <c r="N9" s="3"/>
    </row>
    <row r="10" spans="1:14" ht="19" x14ac:dyDescent="0.25">
      <c r="A10">
        <v>7</v>
      </c>
      <c r="B10">
        <v>4</v>
      </c>
      <c r="C10">
        <v>0</v>
      </c>
      <c r="D10">
        <v>1</v>
      </c>
      <c r="E10">
        <v>4</v>
      </c>
      <c r="F10">
        <v>12</v>
      </c>
      <c r="G10">
        <v>43</v>
      </c>
      <c r="H10">
        <v>0</v>
      </c>
      <c r="I10" s="4">
        <v>473</v>
      </c>
      <c r="J10">
        <v>43</v>
      </c>
      <c r="K10" s="6">
        <f t="shared" si="0"/>
        <v>580</v>
      </c>
      <c r="L10" s="11">
        <f>ROUND((I10/K10), 4)</f>
        <v>0.8155</v>
      </c>
      <c r="N10" s="2"/>
    </row>
    <row r="11" spans="1:14" ht="19" x14ac:dyDescent="0.25">
      <c r="A11">
        <v>8</v>
      </c>
      <c r="B11">
        <v>37</v>
      </c>
      <c r="C11">
        <v>0</v>
      </c>
      <c r="D11">
        <v>29</v>
      </c>
      <c r="E11">
        <v>24</v>
      </c>
      <c r="F11">
        <v>13</v>
      </c>
      <c r="G11">
        <v>9</v>
      </c>
      <c r="H11">
        <v>0</v>
      </c>
      <c r="I11">
        <v>39</v>
      </c>
      <c r="J11" s="4">
        <v>419</v>
      </c>
      <c r="K11" s="6">
        <f t="shared" si="0"/>
        <v>570</v>
      </c>
      <c r="L11" s="11">
        <f>ROUND((J11/K11), 4)</f>
        <v>0.73509999999999998</v>
      </c>
      <c r="N11" s="3"/>
    </row>
    <row r="12" spans="1:14" ht="19" x14ac:dyDescent="0.25">
      <c r="A12" s="5" t="s">
        <v>2</v>
      </c>
      <c r="B12" s="6">
        <f>SUM(B3:B11)</f>
        <v>532</v>
      </c>
      <c r="C12" s="6">
        <f t="shared" ref="C12:J12" si="1">SUM(C3:C11)</f>
        <v>0</v>
      </c>
      <c r="D12" s="6">
        <f t="shared" si="1"/>
        <v>638</v>
      </c>
      <c r="E12" s="6">
        <f t="shared" si="1"/>
        <v>660</v>
      </c>
      <c r="F12" s="6">
        <f t="shared" si="1"/>
        <v>635</v>
      </c>
      <c r="G12" s="6">
        <f t="shared" si="1"/>
        <v>624</v>
      </c>
      <c r="H12" s="6">
        <f t="shared" si="1"/>
        <v>0</v>
      </c>
      <c r="I12" s="6">
        <f t="shared" si="1"/>
        <v>561</v>
      </c>
      <c r="J12" s="6">
        <f t="shared" si="1"/>
        <v>513</v>
      </c>
      <c r="K12" s="7">
        <f>SUM(K3:K11)</f>
        <v>4163</v>
      </c>
      <c r="L12" s="8"/>
      <c r="N12" s="2"/>
    </row>
    <row r="13" spans="1:14" ht="19" x14ac:dyDescent="0.25">
      <c r="A13" s="9" t="s">
        <v>3</v>
      </c>
      <c r="B13" s="11">
        <f>ROUND((B3/B12), 4)</f>
        <v>0.69920000000000004</v>
      </c>
      <c r="C13" s="10" t="e">
        <f>ROUND((C4/C12), 4)</f>
        <v>#DIV/0!</v>
      </c>
      <c r="D13" s="11">
        <f>ROUND((D5/D12), 4)</f>
        <v>0.69440000000000002</v>
      </c>
      <c r="E13" s="11">
        <f>ROUND((E6/E12), 4)</f>
        <v>0.67579999999999996</v>
      </c>
      <c r="F13" s="11">
        <f>ROUND((F7/F12), 4)</f>
        <v>0.7087</v>
      </c>
      <c r="G13" s="11">
        <f>ROUND((G8/G12), 4)</f>
        <v>0.82369999999999999</v>
      </c>
      <c r="H13" s="11">
        <v>0</v>
      </c>
      <c r="I13" s="11">
        <f>ROUND((I10/I12), 4)</f>
        <v>0.84309999999999996</v>
      </c>
      <c r="J13" s="11">
        <f>ROUND((J11/J12), 4)</f>
        <v>0.81679999999999997</v>
      </c>
      <c r="K13" s="8"/>
      <c r="L13" s="8"/>
      <c r="N13" s="3"/>
    </row>
    <row r="14" spans="1:14" ht="19" x14ac:dyDescent="0.25">
      <c r="A14" s="3"/>
      <c r="N14" s="2"/>
    </row>
    <row r="15" spans="1:14" ht="19" x14ac:dyDescent="0.25">
      <c r="A15" s="1" t="s">
        <v>5</v>
      </c>
      <c r="C15" s="1" t="s">
        <v>7</v>
      </c>
      <c r="N15" s="3"/>
    </row>
    <row r="16" spans="1:14" ht="19" x14ac:dyDescent="0.25">
      <c r="A16" s="12">
        <v>0.74873889022339601</v>
      </c>
      <c r="C16" t="s">
        <v>8</v>
      </c>
      <c r="D16">
        <v>318496720.97269201</v>
      </c>
      <c r="E16" s="13">
        <f>(D16/D24)</f>
        <v>0.14458661026886058</v>
      </c>
      <c r="N16" s="2"/>
    </row>
    <row r="17" spans="1:14" ht="19" x14ac:dyDescent="0.25">
      <c r="C17" t="s">
        <v>9</v>
      </c>
      <c r="D17">
        <v>1313.9503518497199</v>
      </c>
      <c r="E17" s="13">
        <f>(D17/D24)</f>
        <v>5.9648848771606851E-7</v>
      </c>
      <c r="N17" s="3"/>
    </row>
    <row r="18" spans="1:14" ht="19" x14ac:dyDescent="0.25">
      <c r="A18" s="1" t="s">
        <v>6</v>
      </c>
      <c r="C18" t="s">
        <v>10</v>
      </c>
      <c r="D18">
        <v>543939132.84441102</v>
      </c>
      <c r="E18" s="13">
        <f>(D18/D24)</f>
        <v>0.24692974913641261</v>
      </c>
      <c r="N18" s="2"/>
    </row>
    <row r="19" spans="1:14" x14ac:dyDescent="0.2">
      <c r="A19" s="12">
        <v>0.70674604943747299</v>
      </c>
      <c r="C19" t="s">
        <v>11</v>
      </c>
      <c r="D19">
        <v>977367694.32962596</v>
      </c>
      <c r="E19" s="13">
        <f>(D19/D24)</f>
        <v>0.44369148127439845</v>
      </c>
    </row>
    <row r="20" spans="1:14" x14ac:dyDescent="0.2">
      <c r="C20" t="s">
        <v>12</v>
      </c>
      <c r="D20">
        <v>225815369.94478801</v>
      </c>
      <c r="E20" s="13">
        <f>(D20/D24)</f>
        <v>0.10251244906764691</v>
      </c>
    </row>
    <row r="21" spans="1:14" x14ac:dyDescent="0.2">
      <c r="C21" t="s">
        <v>20</v>
      </c>
      <c r="D21">
        <v>47575538.365262099</v>
      </c>
      <c r="E21" s="13">
        <f>(D21/D24)</f>
        <v>2.1597666069972394E-2</v>
      </c>
    </row>
    <row r="22" spans="1:14" x14ac:dyDescent="0.2">
      <c r="C22" t="s">
        <v>13</v>
      </c>
      <c r="D22">
        <v>38760487.872667901</v>
      </c>
      <c r="E22" s="13">
        <f>(D22/D24)</f>
        <v>1.7595934855344525E-2</v>
      </c>
    </row>
    <row r="23" spans="1:14" x14ac:dyDescent="0.2">
      <c r="C23" t="s">
        <v>14</v>
      </c>
      <c r="D23">
        <v>50852980.974399701</v>
      </c>
      <c r="E23" s="13">
        <f>(D23/D24)</f>
        <v>2.3085512838877015E-2</v>
      </c>
    </row>
    <row r="24" spans="1:14" x14ac:dyDescent="0.2">
      <c r="D24">
        <f>SUM(D16:D23)</f>
        <v>2202809239.2541981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A6D67-C688-534B-9BDF-42085B0B96DE}">
  <dimension ref="A1:N24"/>
  <sheetViews>
    <sheetView workbookViewId="0">
      <selection activeCell="J11" sqref="J11"/>
    </sheetView>
  </sheetViews>
  <sheetFormatPr baseColWidth="10" defaultRowHeight="16" x14ac:dyDescent="0.2"/>
  <cols>
    <col min="4" max="4" width="11.1640625" bestFit="1" customWidth="1"/>
  </cols>
  <sheetData>
    <row r="1" spans="1:14" x14ac:dyDescent="0.2">
      <c r="A1" s="1" t="s">
        <v>0</v>
      </c>
    </row>
    <row r="2" spans="1:14" ht="19" x14ac:dyDescent="0.25"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21</v>
      </c>
      <c r="H2" t="s">
        <v>22</v>
      </c>
      <c r="I2" t="s">
        <v>23</v>
      </c>
      <c r="J2" t="s">
        <v>24</v>
      </c>
      <c r="K2" s="5" t="s">
        <v>1</v>
      </c>
      <c r="L2" s="9" t="s">
        <v>4</v>
      </c>
      <c r="N2" s="2"/>
    </row>
    <row r="3" spans="1:14" ht="19" x14ac:dyDescent="0.25">
      <c r="A3">
        <v>0</v>
      </c>
      <c r="B3" s="4">
        <v>432</v>
      </c>
      <c r="C3">
        <v>0</v>
      </c>
      <c r="D3">
        <v>95</v>
      </c>
      <c r="E3">
        <v>32</v>
      </c>
      <c r="F3">
        <v>34</v>
      </c>
      <c r="G3">
        <v>2</v>
      </c>
      <c r="H3">
        <v>0</v>
      </c>
      <c r="I3">
        <v>4</v>
      </c>
      <c r="J3">
        <v>17</v>
      </c>
      <c r="K3" s="6">
        <f>SUM(B3:J3)</f>
        <v>616</v>
      </c>
      <c r="L3" s="11">
        <f>ROUND((B3/K3), 4)</f>
        <v>0.70130000000000003</v>
      </c>
      <c r="N3" s="3"/>
    </row>
    <row r="4" spans="1:14" ht="19" x14ac:dyDescent="0.25">
      <c r="A4">
        <v>1</v>
      </c>
      <c r="B4">
        <v>0</v>
      </c>
      <c r="C4" s="4">
        <v>0</v>
      </c>
      <c r="D4">
        <v>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s="6">
        <f t="shared" ref="K4:K11" si="0">SUM(B4:J4)</f>
        <v>3</v>
      </c>
      <c r="L4" s="11">
        <f>ROUND((C4/K4), 4)</f>
        <v>0</v>
      </c>
      <c r="N4" s="2"/>
    </row>
    <row r="5" spans="1:14" ht="19" x14ac:dyDescent="0.25">
      <c r="A5">
        <v>2</v>
      </c>
      <c r="B5">
        <v>66</v>
      </c>
      <c r="C5">
        <v>0</v>
      </c>
      <c r="D5" s="4">
        <v>416</v>
      </c>
      <c r="E5">
        <v>85</v>
      </c>
      <c r="F5">
        <v>24</v>
      </c>
      <c r="G5">
        <v>3</v>
      </c>
      <c r="H5">
        <v>0</v>
      </c>
      <c r="I5">
        <v>2</v>
      </c>
      <c r="J5">
        <v>11</v>
      </c>
      <c r="K5" s="6">
        <f t="shared" si="0"/>
        <v>607</v>
      </c>
      <c r="L5" s="11">
        <f>ROUND((D5/K5), 4)</f>
        <v>0.68530000000000002</v>
      </c>
      <c r="N5" s="3"/>
    </row>
    <row r="6" spans="1:14" ht="19" x14ac:dyDescent="0.25">
      <c r="A6">
        <v>3</v>
      </c>
      <c r="B6">
        <v>18</v>
      </c>
      <c r="C6">
        <v>0</v>
      </c>
      <c r="D6">
        <v>50</v>
      </c>
      <c r="E6" s="4">
        <v>472</v>
      </c>
      <c r="F6">
        <v>54</v>
      </c>
      <c r="G6">
        <v>7</v>
      </c>
      <c r="H6">
        <v>0</v>
      </c>
      <c r="I6">
        <v>1</v>
      </c>
      <c r="J6">
        <v>12</v>
      </c>
      <c r="K6" s="6">
        <f t="shared" si="0"/>
        <v>614</v>
      </c>
      <c r="L6" s="11">
        <f>ROUND((E6/K6), 4)</f>
        <v>0.76870000000000005</v>
      </c>
      <c r="N6" s="2"/>
    </row>
    <row r="7" spans="1:14" ht="19" x14ac:dyDescent="0.25">
      <c r="A7">
        <v>4</v>
      </c>
      <c r="B7">
        <v>21</v>
      </c>
      <c r="C7">
        <v>0</v>
      </c>
      <c r="D7">
        <v>11</v>
      </c>
      <c r="E7">
        <v>46</v>
      </c>
      <c r="F7" s="4">
        <v>478</v>
      </c>
      <c r="G7">
        <v>44</v>
      </c>
      <c r="H7">
        <v>0</v>
      </c>
      <c r="I7">
        <v>7</v>
      </c>
      <c r="J7">
        <v>11</v>
      </c>
      <c r="K7" s="6">
        <f t="shared" si="0"/>
        <v>618</v>
      </c>
      <c r="L7" s="11">
        <f>ROUND((F7/K7), 4)</f>
        <v>0.77349999999999997</v>
      </c>
      <c r="N7" s="3"/>
    </row>
    <row r="8" spans="1:14" ht="19" x14ac:dyDescent="0.25">
      <c r="A8">
        <v>5</v>
      </c>
      <c r="B8">
        <v>0</v>
      </c>
      <c r="C8">
        <v>0</v>
      </c>
      <c r="D8">
        <v>2</v>
      </c>
      <c r="E8">
        <v>24</v>
      </c>
      <c r="F8">
        <v>68</v>
      </c>
      <c r="G8" s="4">
        <v>490</v>
      </c>
      <c r="H8">
        <v>0</v>
      </c>
      <c r="I8">
        <v>43</v>
      </c>
      <c r="J8">
        <v>7</v>
      </c>
      <c r="K8" s="6">
        <f t="shared" si="0"/>
        <v>634</v>
      </c>
      <c r="L8" s="11">
        <f>ROUND((G8/K8), 4)</f>
        <v>0.77290000000000003</v>
      </c>
      <c r="N8" s="2"/>
    </row>
    <row r="9" spans="1:14" ht="19" x14ac:dyDescent="0.25">
      <c r="A9">
        <v>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 s="4">
        <v>0</v>
      </c>
      <c r="I9">
        <v>0</v>
      </c>
      <c r="J9">
        <v>0</v>
      </c>
      <c r="K9" s="6">
        <f t="shared" si="0"/>
        <v>0</v>
      </c>
      <c r="L9" s="11">
        <v>0</v>
      </c>
      <c r="N9" s="3"/>
    </row>
    <row r="10" spans="1:14" ht="19" x14ac:dyDescent="0.25">
      <c r="A10">
        <v>7</v>
      </c>
      <c r="B10">
        <v>3</v>
      </c>
      <c r="C10">
        <v>0</v>
      </c>
      <c r="D10">
        <v>0</v>
      </c>
      <c r="E10">
        <v>0</v>
      </c>
      <c r="F10">
        <v>7</v>
      </c>
      <c r="G10">
        <v>51</v>
      </c>
      <c r="H10">
        <v>0</v>
      </c>
      <c r="I10" s="4">
        <v>507</v>
      </c>
      <c r="J10">
        <v>39</v>
      </c>
      <c r="K10" s="6">
        <f t="shared" si="0"/>
        <v>607</v>
      </c>
      <c r="L10" s="11">
        <f>ROUND((I10/K10), 4)</f>
        <v>0.83530000000000004</v>
      </c>
      <c r="N10" s="2"/>
    </row>
    <row r="11" spans="1:14" ht="19" x14ac:dyDescent="0.25">
      <c r="A11">
        <v>8</v>
      </c>
      <c r="B11">
        <v>16</v>
      </c>
      <c r="C11">
        <v>0</v>
      </c>
      <c r="D11">
        <v>24</v>
      </c>
      <c r="E11">
        <v>17</v>
      </c>
      <c r="F11">
        <v>7</v>
      </c>
      <c r="G11">
        <v>4</v>
      </c>
      <c r="H11">
        <v>0</v>
      </c>
      <c r="I11">
        <v>38</v>
      </c>
      <c r="J11" s="4">
        <v>486</v>
      </c>
      <c r="K11" s="6">
        <f t="shared" si="0"/>
        <v>592</v>
      </c>
      <c r="L11" s="11">
        <f>ROUND((J11/K11), 4)</f>
        <v>0.82089999999999996</v>
      </c>
      <c r="N11" s="3"/>
    </row>
    <row r="12" spans="1:14" ht="19" x14ac:dyDescent="0.25">
      <c r="A12" s="5" t="s">
        <v>2</v>
      </c>
      <c r="B12" s="6">
        <f>SUM(B3:B11)</f>
        <v>556</v>
      </c>
      <c r="C12" s="6">
        <f t="shared" ref="C12:J12" si="1">SUM(C3:C11)</f>
        <v>0</v>
      </c>
      <c r="D12" s="6">
        <f t="shared" si="1"/>
        <v>601</v>
      </c>
      <c r="E12" s="6">
        <f t="shared" si="1"/>
        <v>676</v>
      </c>
      <c r="F12" s="6">
        <f t="shared" si="1"/>
        <v>672</v>
      </c>
      <c r="G12" s="6">
        <f t="shared" si="1"/>
        <v>601</v>
      </c>
      <c r="H12" s="6">
        <f t="shared" si="1"/>
        <v>0</v>
      </c>
      <c r="I12" s="6">
        <f t="shared" si="1"/>
        <v>602</v>
      </c>
      <c r="J12" s="6">
        <f t="shared" si="1"/>
        <v>583</v>
      </c>
      <c r="K12" s="7">
        <f>SUM(K3:K11)</f>
        <v>4291</v>
      </c>
      <c r="L12" s="8"/>
      <c r="N12" s="2"/>
    </row>
    <row r="13" spans="1:14" ht="19" x14ac:dyDescent="0.25">
      <c r="A13" s="9" t="s">
        <v>3</v>
      </c>
      <c r="B13" s="11">
        <f>ROUND((B3/B12), 4)</f>
        <v>0.77700000000000002</v>
      </c>
      <c r="C13" s="10" t="e">
        <f>ROUND((C4/C12), 4)</f>
        <v>#DIV/0!</v>
      </c>
      <c r="D13" s="11">
        <f>ROUND((D5/D12), 4)</f>
        <v>0.69220000000000004</v>
      </c>
      <c r="E13" s="11">
        <f>ROUND((E6/E12), 4)</f>
        <v>0.69820000000000004</v>
      </c>
      <c r="F13" s="11">
        <f>ROUND((F7/F12), 4)</f>
        <v>0.71130000000000004</v>
      </c>
      <c r="G13" s="11">
        <f>ROUND((G8/G12), 4)</f>
        <v>0.81530000000000002</v>
      </c>
      <c r="H13" s="11">
        <v>0</v>
      </c>
      <c r="I13" s="11">
        <f>ROUND((I10/I12), 4)</f>
        <v>0.84219999999999995</v>
      </c>
      <c r="J13" s="11">
        <f>ROUND((J11/J12), 4)</f>
        <v>0.83360000000000001</v>
      </c>
      <c r="K13" s="8"/>
      <c r="L13" s="8"/>
      <c r="N13" s="3"/>
    </row>
    <row r="14" spans="1:14" ht="19" x14ac:dyDescent="0.25">
      <c r="A14" s="3"/>
      <c r="N14" s="2"/>
    </row>
    <row r="15" spans="1:14" ht="19" x14ac:dyDescent="0.25">
      <c r="A15" s="1" t="s">
        <v>5</v>
      </c>
      <c r="C15" s="1" t="s">
        <v>7</v>
      </c>
      <c r="N15" s="3"/>
    </row>
    <row r="16" spans="1:14" ht="19" x14ac:dyDescent="0.25">
      <c r="A16" s="12">
        <v>0.76462363085527796</v>
      </c>
      <c r="C16" t="s">
        <v>8</v>
      </c>
      <c r="D16">
        <v>305789725.547373</v>
      </c>
      <c r="E16" s="13">
        <f>(D16/D24)</f>
        <v>0.13826034648129387</v>
      </c>
      <c r="N16" s="2"/>
    </row>
    <row r="17" spans="1:14" ht="19" x14ac:dyDescent="0.25">
      <c r="C17" t="s">
        <v>9</v>
      </c>
      <c r="D17">
        <v>3149.4814453125</v>
      </c>
      <c r="E17" s="13">
        <f>(D17/D24)</f>
        <v>1.4240125141086624E-6</v>
      </c>
      <c r="N17" s="3"/>
    </row>
    <row r="18" spans="1:14" ht="19" x14ac:dyDescent="0.25">
      <c r="A18" s="1" t="s">
        <v>6</v>
      </c>
      <c r="C18" t="s">
        <v>10</v>
      </c>
      <c r="D18">
        <v>523171535.35934502</v>
      </c>
      <c r="E18" s="13">
        <f>(D18/D24)</f>
        <v>0.23654777026420254</v>
      </c>
      <c r="N18" s="2"/>
    </row>
    <row r="19" spans="1:14" x14ac:dyDescent="0.2">
      <c r="A19" s="12">
        <v>0.72541400052738803</v>
      </c>
      <c r="C19" t="s">
        <v>11</v>
      </c>
      <c r="D19">
        <v>1026398678.0298001</v>
      </c>
      <c r="E19" s="13">
        <f>(D19/D24)</f>
        <v>0.46407784499076438</v>
      </c>
    </row>
    <row r="20" spans="1:14" x14ac:dyDescent="0.2">
      <c r="C20" t="s">
        <v>12</v>
      </c>
      <c r="D20">
        <v>210893197.70744199</v>
      </c>
      <c r="E20" s="13">
        <f>(D20/D24)</f>
        <v>9.5353650399420481E-2</v>
      </c>
    </row>
    <row r="21" spans="1:14" x14ac:dyDescent="0.2">
      <c r="C21" t="s">
        <v>20</v>
      </c>
      <c r="D21">
        <v>41364036.9727742</v>
      </c>
      <c r="E21" s="13">
        <f>(D21/D24)</f>
        <v>1.8702414129459759E-2</v>
      </c>
    </row>
    <row r="22" spans="1:14" x14ac:dyDescent="0.2">
      <c r="C22" t="s">
        <v>13</v>
      </c>
      <c r="D22">
        <v>47246744.846558496</v>
      </c>
      <c r="E22" s="13">
        <f>(D22/D24)</f>
        <v>2.1362232824877796E-2</v>
      </c>
    </row>
    <row r="23" spans="1:14" x14ac:dyDescent="0.2">
      <c r="C23" t="s">
        <v>14</v>
      </c>
      <c r="D23">
        <v>56827993.7969537</v>
      </c>
      <c r="E23" s="13">
        <f>(D23/D24)</f>
        <v>2.5694316897466919E-2</v>
      </c>
    </row>
    <row r="24" spans="1:14" x14ac:dyDescent="0.2">
      <c r="D24">
        <f>SUM(D16:D23)</f>
        <v>2211695061.7416921</v>
      </c>
    </row>
  </sheetData>
  <pageMargins left="0.7" right="0.7" top="0.75" bottom="0.75" header="0.3" footer="0.3"/>
  <ignoredErrors>
    <ignoredError sqref="K3:K1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2000</vt:lpstr>
      <vt:lpstr>2005</vt:lpstr>
      <vt:lpstr>2010</vt:lpstr>
      <vt:lpstr>2015</vt:lpstr>
      <vt:lpstr>2020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Gronski, Elizabeth (MU-Student)</dc:creator>
  <cp:lastModifiedBy>Gronski, Elizabeth (MU-Student)</cp:lastModifiedBy>
  <dcterms:created xsi:type="dcterms:W3CDTF">2025-12-13T02:05:30Z</dcterms:created>
  <dcterms:modified xsi:type="dcterms:W3CDTF">2025-12-15T01:07:06Z</dcterms:modified>
</cp:coreProperties>
</file>